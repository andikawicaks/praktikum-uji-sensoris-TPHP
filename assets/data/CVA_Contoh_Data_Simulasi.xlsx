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wp/Documents/R-Studio/Praktikum Uji Sensoris/praktikum-uji-sensoris-TPHP/assets/data/"/>
    </mc:Choice>
  </mc:AlternateContent>
  <xr:revisionPtr revIDLastSave="0" documentId="13_ncr:1_{43225861-D2F3-F041-B3D9-185BF03BD7A4}" xr6:coauthVersionLast="47" xr6:coauthVersionMax="47" xr10:uidLastSave="{00000000-0000-0000-0000-000000000000}"/>
  <bookViews>
    <workbookView xWindow="0" yWindow="660" windowWidth="29400" windowHeight="18460" tabRatio="500" activeTab="2" xr2:uid="{00000000-000D-0000-FFFF-FFFF00000000}"/>
  </bookViews>
  <sheets>
    <sheet name="Setup" sheetId="2" r:id="rId1"/>
    <sheet name="Afektif" sheetId="3" r:id="rId2"/>
    <sheet name="Deskriptif" sheetId="4" r:id="rId3"/>
    <sheet name="CATA" sheetId="5" r:id="rId4"/>
    <sheet name="R_CATA" sheetId="6" r:id="rId5"/>
    <sheet name="R_Deskriptif" sheetId="7" r:id="rId6"/>
    <sheet name="R_Afektif" sheetId="8" r:id="rId7"/>
    <sheet name="Frekuensi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" i="9" l="1"/>
  <c r="F3" i="9"/>
  <c r="E3" i="9"/>
  <c r="D3" i="9"/>
  <c r="P61" i="8"/>
  <c r="O61" i="8"/>
  <c r="N61" i="8"/>
  <c r="M61" i="8"/>
  <c r="L61" i="8"/>
  <c r="K61" i="8"/>
  <c r="J61" i="8"/>
  <c r="I61" i="8"/>
  <c r="H61" i="8"/>
  <c r="G61" i="8"/>
  <c r="F61" i="8"/>
  <c r="E61" i="8"/>
  <c r="B61" i="8"/>
  <c r="A61" i="8"/>
  <c r="O60" i="8"/>
  <c r="N60" i="8"/>
  <c r="M60" i="8"/>
  <c r="L60" i="8"/>
  <c r="K60" i="8"/>
  <c r="J60" i="8"/>
  <c r="I60" i="8"/>
  <c r="H60" i="8"/>
  <c r="G60" i="8"/>
  <c r="F60" i="8"/>
  <c r="E60" i="8"/>
  <c r="B60" i="8"/>
  <c r="A60" i="8"/>
  <c r="P59" i="8"/>
  <c r="O59" i="8"/>
  <c r="N59" i="8"/>
  <c r="M59" i="8"/>
  <c r="L59" i="8"/>
  <c r="K59" i="8"/>
  <c r="J59" i="8"/>
  <c r="I59" i="8"/>
  <c r="H59" i="8"/>
  <c r="G59" i="8"/>
  <c r="F59" i="8"/>
  <c r="E59" i="8"/>
  <c r="B59" i="8"/>
  <c r="A59" i="8"/>
  <c r="P58" i="8"/>
  <c r="O58" i="8"/>
  <c r="N58" i="8"/>
  <c r="M58" i="8"/>
  <c r="L58" i="8"/>
  <c r="K58" i="8"/>
  <c r="J58" i="8"/>
  <c r="I58" i="8"/>
  <c r="H58" i="8"/>
  <c r="G58" i="8"/>
  <c r="F58" i="8"/>
  <c r="E58" i="8"/>
  <c r="B58" i="8"/>
  <c r="A58" i="8"/>
  <c r="P57" i="8"/>
  <c r="O57" i="8"/>
  <c r="N57" i="8"/>
  <c r="M57" i="8"/>
  <c r="L57" i="8"/>
  <c r="K57" i="8"/>
  <c r="J57" i="8"/>
  <c r="I57" i="8"/>
  <c r="H57" i="8"/>
  <c r="G57" i="8"/>
  <c r="F57" i="8"/>
  <c r="E57" i="8"/>
  <c r="B57" i="8"/>
  <c r="A57" i="8"/>
  <c r="P56" i="8"/>
  <c r="O56" i="8"/>
  <c r="N56" i="8"/>
  <c r="M56" i="8"/>
  <c r="L56" i="8"/>
  <c r="K56" i="8"/>
  <c r="J56" i="8"/>
  <c r="I56" i="8"/>
  <c r="H56" i="8"/>
  <c r="G56" i="8"/>
  <c r="F56" i="8"/>
  <c r="E56" i="8"/>
  <c r="B56" i="8"/>
  <c r="A56" i="8"/>
  <c r="P55" i="8"/>
  <c r="O55" i="8"/>
  <c r="N55" i="8"/>
  <c r="M55" i="8"/>
  <c r="L55" i="8"/>
  <c r="K55" i="8"/>
  <c r="J55" i="8"/>
  <c r="I55" i="8"/>
  <c r="H55" i="8"/>
  <c r="G55" i="8"/>
  <c r="F55" i="8"/>
  <c r="E55" i="8"/>
  <c r="B55" i="8"/>
  <c r="A55" i="8"/>
  <c r="P54" i="8"/>
  <c r="O54" i="8"/>
  <c r="N54" i="8"/>
  <c r="M54" i="8"/>
  <c r="L54" i="8"/>
  <c r="K54" i="8"/>
  <c r="J54" i="8"/>
  <c r="I54" i="8"/>
  <c r="H54" i="8"/>
  <c r="G54" i="8"/>
  <c r="F54" i="8"/>
  <c r="E54" i="8"/>
  <c r="B54" i="8"/>
  <c r="A54" i="8"/>
  <c r="P53" i="8"/>
  <c r="O53" i="8"/>
  <c r="N53" i="8"/>
  <c r="M53" i="8"/>
  <c r="L53" i="8"/>
  <c r="K53" i="8"/>
  <c r="J53" i="8"/>
  <c r="I53" i="8"/>
  <c r="H53" i="8"/>
  <c r="G53" i="8"/>
  <c r="F53" i="8"/>
  <c r="E53" i="8"/>
  <c r="B53" i="8"/>
  <c r="A53" i="8"/>
  <c r="P52" i="8"/>
  <c r="O52" i="8"/>
  <c r="N52" i="8"/>
  <c r="M52" i="8"/>
  <c r="L52" i="8"/>
  <c r="K52" i="8"/>
  <c r="J52" i="8"/>
  <c r="I52" i="8"/>
  <c r="H52" i="8"/>
  <c r="G52" i="8"/>
  <c r="F52" i="8"/>
  <c r="E52" i="8"/>
  <c r="B52" i="8"/>
  <c r="A52" i="8"/>
  <c r="P51" i="8"/>
  <c r="O51" i="8"/>
  <c r="N51" i="8"/>
  <c r="M51" i="8"/>
  <c r="L51" i="8"/>
  <c r="K51" i="8"/>
  <c r="J51" i="8"/>
  <c r="I51" i="8"/>
  <c r="H51" i="8"/>
  <c r="G51" i="8"/>
  <c r="F51" i="8"/>
  <c r="E51" i="8"/>
  <c r="B51" i="8"/>
  <c r="A51" i="8"/>
  <c r="P50" i="8"/>
  <c r="O50" i="8"/>
  <c r="N50" i="8"/>
  <c r="M50" i="8"/>
  <c r="L50" i="8"/>
  <c r="K50" i="8"/>
  <c r="J50" i="8"/>
  <c r="I50" i="8"/>
  <c r="H50" i="8"/>
  <c r="G50" i="8"/>
  <c r="F50" i="8"/>
  <c r="E50" i="8"/>
  <c r="B50" i="8"/>
  <c r="A50" i="8"/>
  <c r="P49" i="8"/>
  <c r="O49" i="8"/>
  <c r="N49" i="8"/>
  <c r="M49" i="8"/>
  <c r="L49" i="8"/>
  <c r="K49" i="8"/>
  <c r="J49" i="8"/>
  <c r="I49" i="8"/>
  <c r="H49" i="8"/>
  <c r="G49" i="8"/>
  <c r="F49" i="8"/>
  <c r="E49" i="8"/>
  <c r="B49" i="8"/>
  <c r="A49" i="8"/>
  <c r="P48" i="8"/>
  <c r="O48" i="8"/>
  <c r="N48" i="8"/>
  <c r="M48" i="8"/>
  <c r="L48" i="8"/>
  <c r="K48" i="8"/>
  <c r="J48" i="8"/>
  <c r="I48" i="8"/>
  <c r="H48" i="8"/>
  <c r="G48" i="8"/>
  <c r="F48" i="8"/>
  <c r="E48" i="8"/>
  <c r="B48" i="8"/>
  <c r="A48" i="8"/>
  <c r="P47" i="8"/>
  <c r="O47" i="8"/>
  <c r="N47" i="8"/>
  <c r="M47" i="8"/>
  <c r="L47" i="8"/>
  <c r="K47" i="8"/>
  <c r="J47" i="8"/>
  <c r="I47" i="8"/>
  <c r="H47" i="8"/>
  <c r="G47" i="8"/>
  <c r="F47" i="8"/>
  <c r="E47" i="8"/>
  <c r="B47" i="8"/>
  <c r="A47" i="8"/>
  <c r="P46" i="8"/>
  <c r="O46" i="8"/>
  <c r="N46" i="8"/>
  <c r="M46" i="8"/>
  <c r="L46" i="8"/>
  <c r="K46" i="8"/>
  <c r="J46" i="8"/>
  <c r="I46" i="8"/>
  <c r="H46" i="8"/>
  <c r="G46" i="8"/>
  <c r="F46" i="8"/>
  <c r="E46" i="8"/>
  <c r="B46" i="8"/>
  <c r="A46" i="8"/>
  <c r="P45" i="8"/>
  <c r="O45" i="8"/>
  <c r="N45" i="8"/>
  <c r="M45" i="8"/>
  <c r="L45" i="8"/>
  <c r="K45" i="8"/>
  <c r="J45" i="8"/>
  <c r="I45" i="8"/>
  <c r="H45" i="8"/>
  <c r="G45" i="8"/>
  <c r="F45" i="8"/>
  <c r="E45" i="8"/>
  <c r="B45" i="8"/>
  <c r="A45" i="8"/>
  <c r="O44" i="8"/>
  <c r="N44" i="8"/>
  <c r="M44" i="8"/>
  <c r="L44" i="8"/>
  <c r="K44" i="8"/>
  <c r="J44" i="8"/>
  <c r="I44" i="8"/>
  <c r="H44" i="8"/>
  <c r="G44" i="8"/>
  <c r="F44" i="8"/>
  <c r="E44" i="8"/>
  <c r="B44" i="8"/>
  <c r="A44" i="8"/>
  <c r="O43" i="8"/>
  <c r="N43" i="8"/>
  <c r="M43" i="8"/>
  <c r="L43" i="8"/>
  <c r="K43" i="8"/>
  <c r="J43" i="8"/>
  <c r="I43" i="8"/>
  <c r="H43" i="8"/>
  <c r="G43" i="8"/>
  <c r="F43" i="8"/>
  <c r="E43" i="8"/>
  <c r="B43" i="8"/>
  <c r="A43" i="8"/>
  <c r="O42" i="8"/>
  <c r="N42" i="8"/>
  <c r="M42" i="8"/>
  <c r="L42" i="8"/>
  <c r="K42" i="8"/>
  <c r="J42" i="8"/>
  <c r="I42" i="8"/>
  <c r="H42" i="8"/>
  <c r="G42" i="8"/>
  <c r="F42" i="8"/>
  <c r="E42" i="8"/>
  <c r="B42" i="8"/>
  <c r="A42" i="8"/>
  <c r="O41" i="8"/>
  <c r="N41" i="8"/>
  <c r="M41" i="8"/>
  <c r="L41" i="8"/>
  <c r="K41" i="8"/>
  <c r="J41" i="8"/>
  <c r="I41" i="8"/>
  <c r="H41" i="8"/>
  <c r="G41" i="8"/>
  <c r="F41" i="8"/>
  <c r="E41" i="8"/>
  <c r="B41" i="8"/>
  <c r="A41" i="8"/>
  <c r="O40" i="8"/>
  <c r="N40" i="8"/>
  <c r="M40" i="8"/>
  <c r="L40" i="8"/>
  <c r="K40" i="8"/>
  <c r="J40" i="8"/>
  <c r="I40" i="8"/>
  <c r="H40" i="8"/>
  <c r="G40" i="8"/>
  <c r="F40" i="8"/>
  <c r="E40" i="8"/>
  <c r="B40" i="8"/>
  <c r="A40" i="8"/>
  <c r="O39" i="8"/>
  <c r="N39" i="8"/>
  <c r="M39" i="8"/>
  <c r="L39" i="8"/>
  <c r="K39" i="8"/>
  <c r="J39" i="8"/>
  <c r="I39" i="8"/>
  <c r="H39" i="8"/>
  <c r="G39" i="8"/>
  <c r="F39" i="8"/>
  <c r="E39" i="8"/>
  <c r="B39" i="8"/>
  <c r="A39" i="8"/>
  <c r="O38" i="8"/>
  <c r="N38" i="8"/>
  <c r="M38" i="8"/>
  <c r="L38" i="8"/>
  <c r="K38" i="8"/>
  <c r="J38" i="8"/>
  <c r="I38" i="8"/>
  <c r="H38" i="8"/>
  <c r="G38" i="8"/>
  <c r="F38" i="8"/>
  <c r="E38" i="8"/>
  <c r="B38" i="8"/>
  <c r="A38" i="8"/>
  <c r="O37" i="8"/>
  <c r="N37" i="8"/>
  <c r="M37" i="8"/>
  <c r="L37" i="8"/>
  <c r="K37" i="8"/>
  <c r="J37" i="8"/>
  <c r="I37" i="8"/>
  <c r="H37" i="8"/>
  <c r="G37" i="8"/>
  <c r="F37" i="8"/>
  <c r="E37" i="8"/>
  <c r="B37" i="8"/>
  <c r="A37" i="8"/>
  <c r="O36" i="8"/>
  <c r="N36" i="8"/>
  <c r="M36" i="8"/>
  <c r="L36" i="8"/>
  <c r="K36" i="8"/>
  <c r="J36" i="8"/>
  <c r="I36" i="8"/>
  <c r="H36" i="8"/>
  <c r="G36" i="8"/>
  <c r="F36" i="8"/>
  <c r="E36" i="8"/>
  <c r="B36" i="8"/>
  <c r="A36" i="8"/>
  <c r="O35" i="8"/>
  <c r="N35" i="8"/>
  <c r="M35" i="8"/>
  <c r="L35" i="8"/>
  <c r="K35" i="8"/>
  <c r="J35" i="8"/>
  <c r="I35" i="8"/>
  <c r="H35" i="8"/>
  <c r="G35" i="8"/>
  <c r="F35" i="8"/>
  <c r="E35" i="8"/>
  <c r="B35" i="8"/>
  <c r="A35" i="8"/>
  <c r="O34" i="8"/>
  <c r="N34" i="8"/>
  <c r="M34" i="8"/>
  <c r="L34" i="8"/>
  <c r="K34" i="8"/>
  <c r="J34" i="8"/>
  <c r="I34" i="8"/>
  <c r="H34" i="8"/>
  <c r="G34" i="8"/>
  <c r="F34" i="8"/>
  <c r="E34" i="8"/>
  <c r="B34" i="8"/>
  <c r="A34" i="8"/>
  <c r="O33" i="8"/>
  <c r="N33" i="8"/>
  <c r="M33" i="8"/>
  <c r="L33" i="8"/>
  <c r="K33" i="8"/>
  <c r="J33" i="8"/>
  <c r="I33" i="8"/>
  <c r="H33" i="8"/>
  <c r="G33" i="8"/>
  <c r="F33" i="8"/>
  <c r="E33" i="8"/>
  <c r="B33" i="8"/>
  <c r="A33" i="8"/>
  <c r="O32" i="8"/>
  <c r="N32" i="8"/>
  <c r="M32" i="8"/>
  <c r="L32" i="8"/>
  <c r="K32" i="8"/>
  <c r="J32" i="8"/>
  <c r="I32" i="8"/>
  <c r="H32" i="8"/>
  <c r="G32" i="8"/>
  <c r="F32" i="8"/>
  <c r="E32" i="8"/>
  <c r="B32" i="8"/>
  <c r="A32" i="8"/>
  <c r="O31" i="8"/>
  <c r="N31" i="8"/>
  <c r="M31" i="8"/>
  <c r="L31" i="8"/>
  <c r="K31" i="8"/>
  <c r="J31" i="8"/>
  <c r="I31" i="8"/>
  <c r="H31" i="8"/>
  <c r="G31" i="8"/>
  <c r="F31" i="8"/>
  <c r="E31" i="8"/>
  <c r="B31" i="8"/>
  <c r="A31" i="8"/>
  <c r="O30" i="8"/>
  <c r="N30" i="8"/>
  <c r="M30" i="8"/>
  <c r="L30" i="8"/>
  <c r="K30" i="8"/>
  <c r="J30" i="8"/>
  <c r="I30" i="8"/>
  <c r="H30" i="8"/>
  <c r="G30" i="8"/>
  <c r="F30" i="8"/>
  <c r="E30" i="8"/>
  <c r="B30" i="8"/>
  <c r="A30" i="8"/>
  <c r="P29" i="8"/>
  <c r="O29" i="8"/>
  <c r="N29" i="8"/>
  <c r="M29" i="8"/>
  <c r="L29" i="8"/>
  <c r="K29" i="8"/>
  <c r="J29" i="8"/>
  <c r="I29" i="8"/>
  <c r="H29" i="8"/>
  <c r="G29" i="8"/>
  <c r="F29" i="8"/>
  <c r="E29" i="8"/>
  <c r="B29" i="8"/>
  <c r="A29" i="8"/>
  <c r="P28" i="8"/>
  <c r="O28" i="8"/>
  <c r="N28" i="8"/>
  <c r="M28" i="8"/>
  <c r="L28" i="8"/>
  <c r="K28" i="8"/>
  <c r="J28" i="8"/>
  <c r="I28" i="8"/>
  <c r="H28" i="8"/>
  <c r="G28" i="8"/>
  <c r="F28" i="8"/>
  <c r="E28" i="8"/>
  <c r="B28" i="8"/>
  <c r="A28" i="8"/>
  <c r="P27" i="8"/>
  <c r="O27" i="8"/>
  <c r="N27" i="8"/>
  <c r="M27" i="8"/>
  <c r="L27" i="8"/>
  <c r="K27" i="8"/>
  <c r="J27" i="8"/>
  <c r="I27" i="8"/>
  <c r="H27" i="8"/>
  <c r="G27" i="8"/>
  <c r="F27" i="8"/>
  <c r="E27" i="8"/>
  <c r="B27" i="8"/>
  <c r="A27" i="8"/>
  <c r="P26" i="8"/>
  <c r="O26" i="8"/>
  <c r="N26" i="8"/>
  <c r="M26" i="8"/>
  <c r="L26" i="8"/>
  <c r="K26" i="8"/>
  <c r="J26" i="8"/>
  <c r="I26" i="8"/>
  <c r="H26" i="8"/>
  <c r="G26" i="8"/>
  <c r="F26" i="8"/>
  <c r="E26" i="8"/>
  <c r="B26" i="8"/>
  <c r="A26" i="8"/>
  <c r="P25" i="8"/>
  <c r="O25" i="8"/>
  <c r="N25" i="8"/>
  <c r="M25" i="8"/>
  <c r="L25" i="8"/>
  <c r="K25" i="8"/>
  <c r="J25" i="8"/>
  <c r="I25" i="8"/>
  <c r="H25" i="8"/>
  <c r="G25" i="8"/>
  <c r="F25" i="8"/>
  <c r="E25" i="8"/>
  <c r="B25" i="8"/>
  <c r="A25" i="8"/>
  <c r="P24" i="8"/>
  <c r="O24" i="8"/>
  <c r="N24" i="8"/>
  <c r="M24" i="8"/>
  <c r="L24" i="8"/>
  <c r="K24" i="8"/>
  <c r="J24" i="8"/>
  <c r="I24" i="8"/>
  <c r="H24" i="8"/>
  <c r="G24" i="8"/>
  <c r="F24" i="8"/>
  <c r="E24" i="8"/>
  <c r="B24" i="8"/>
  <c r="A24" i="8"/>
  <c r="P23" i="8"/>
  <c r="O23" i="8"/>
  <c r="N23" i="8"/>
  <c r="M23" i="8"/>
  <c r="L23" i="8"/>
  <c r="K23" i="8"/>
  <c r="J23" i="8"/>
  <c r="I23" i="8"/>
  <c r="H23" i="8"/>
  <c r="G23" i="8"/>
  <c r="F23" i="8"/>
  <c r="E23" i="8"/>
  <c r="B23" i="8"/>
  <c r="A23" i="8"/>
  <c r="P22" i="8"/>
  <c r="O22" i="8"/>
  <c r="N22" i="8"/>
  <c r="M22" i="8"/>
  <c r="L22" i="8"/>
  <c r="K22" i="8"/>
  <c r="J22" i="8"/>
  <c r="I22" i="8"/>
  <c r="H22" i="8"/>
  <c r="G22" i="8"/>
  <c r="F22" i="8"/>
  <c r="E22" i="8"/>
  <c r="B22" i="8"/>
  <c r="A22" i="8"/>
  <c r="P21" i="8"/>
  <c r="O21" i="8"/>
  <c r="N21" i="8"/>
  <c r="M21" i="8"/>
  <c r="L21" i="8"/>
  <c r="K21" i="8"/>
  <c r="J21" i="8"/>
  <c r="I21" i="8"/>
  <c r="H21" i="8"/>
  <c r="G21" i="8"/>
  <c r="F21" i="8"/>
  <c r="E21" i="8"/>
  <c r="B21" i="8"/>
  <c r="A21" i="8"/>
  <c r="P20" i="8"/>
  <c r="O20" i="8"/>
  <c r="N20" i="8"/>
  <c r="M20" i="8"/>
  <c r="L20" i="8"/>
  <c r="K20" i="8"/>
  <c r="J20" i="8"/>
  <c r="I20" i="8"/>
  <c r="H20" i="8"/>
  <c r="G20" i="8"/>
  <c r="F20" i="8"/>
  <c r="E20" i="8"/>
  <c r="B20" i="8"/>
  <c r="A20" i="8"/>
  <c r="P19" i="8"/>
  <c r="O19" i="8"/>
  <c r="N19" i="8"/>
  <c r="M19" i="8"/>
  <c r="L19" i="8"/>
  <c r="K19" i="8"/>
  <c r="J19" i="8"/>
  <c r="I19" i="8"/>
  <c r="H19" i="8"/>
  <c r="G19" i="8"/>
  <c r="F19" i="8"/>
  <c r="E19" i="8"/>
  <c r="B19" i="8"/>
  <c r="A19" i="8"/>
  <c r="P18" i="8"/>
  <c r="O18" i="8"/>
  <c r="N18" i="8"/>
  <c r="M18" i="8"/>
  <c r="L18" i="8"/>
  <c r="K18" i="8"/>
  <c r="J18" i="8"/>
  <c r="I18" i="8"/>
  <c r="H18" i="8"/>
  <c r="G18" i="8"/>
  <c r="F18" i="8"/>
  <c r="E18" i="8"/>
  <c r="B18" i="8"/>
  <c r="A18" i="8"/>
  <c r="P17" i="8"/>
  <c r="O17" i="8"/>
  <c r="N17" i="8"/>
  <c r="M17" i="8"/>
  <c r="L17" i="8"/>
  <c r="K17" i="8"/>
  <c r="J17" i="8"/>
  <c r="I17" i="8"/>
  <c r="H17" i="8"/>
  <c r="G17" i="8"/>
  <c r="F17" i="8"/>
  <c r="E17" i="8"/>
  <c r="B17" i="8"/>
  <c r="A17" i="8"/>
  <c r="P16" i="8"/>
  <c r="O16" i="8"/>
  <c r="N16" i="8"/>
  <c r="M16" i="8"/>
  <c r="L16" i="8"/>
  <c r="K16" i="8"/>
  <c r="J16" i="8"/>
  <c r="I16" i="8"/>
  <c r="H16" i="8"/>
  <c r="G16" i="8"/>
  <c r="F16" i="8"/>
  <c r="E16" i="8"/>
  <c r="B16" i="8"/>
  <c r="A16" i="8"/>
  <c r="P15" i="8"/>
  <c r="O15" i="8"/>
  <c r="N15" i="8"/>
  <c r="M15" i="8"/>
  <c r="L15" i="8"/>
  <c r="K15" i="8"/>
  <c r="J15" i="8"/>
  <c r="I15" i="8"/>
  <c r="H15" i="8"/>
  <c r="G15" i="8"/>
  <c r="F15" i="8"/>
  <c r="E15" i="8"/>
  <c r="B15" i="8"/>
  <c r="A15" i="8"/>
  <c r="P14" i="8"/>
  <c r="O14" i="8"/>
  <c r="N14" i="8"/>
  <c r="M14" i="8"/>
  <c r="L14" i="8"/>
  <c r="K14" i="8"/>
  <c r="J14" i="8"/>
  <c r="I14" i="8"/>
  <c r="H14" i="8"/>
  <c r="G14" i="8"/>
  <c r="F14" i="8"/>
  <c r="E14" i="8"/>
  <c r="B14" i="8"/>
  <c r="A14" i="8"/>
  <c r="P13" i="8"/>
  <c r="O13" i="8"/>
  <c r="N13" i="8"/>
  <c r="M13" i="8"/>
  <c r="L13" i="8"/>
  <c r="K13" i="8"/>
  <c r="J13" i="8"/>
  <c r="I13" i="8"/>
  <c r="H13" i="8"/>
  <c r="G13" i="8"/>
  <c r="F13" i="8"/>
  <c r="E13" i="8"/>
  <c r="B13" i="8"/>
  <c r="A13" i="8"/>
  <c r="O12" i="8"/>
  <c r="N12" i="8"/>
  <c r="M12" i="8"/>
  <c r="L12" i="8"/>
  <c r="K12" i="8"/>
  <c r="J12" i="8"/>
  <c r="I12" i="8"/>
  <c r="H12" i="8"/>
  <c r="G12" i="8"/>
  <c r="F12" i="8"/>
  <c r="E12" i="8"/>
  <c r="B12" i="8"/>
  <c r="A12" i="8"/>
  <c r="O11" i="8"/>
  <c r="N11" i="8"/>
  <c r="M11" i="8"/>
  <c r="L11" i="8"/>
  <c r="K11" i="8"/>
  <c r="J11" i="8"/>
  <c r="I11" i="8"/>
  <c r="H11" i="8"/>
  <c r="G11" i="8"/>
  <c r="F11" i="8"/>
  <c r="E11" i="8"/>
  <c r="B11" i="8"/>
  <c r="A11" i="8"/>
  <c r="O10" i="8"/>
  <c r="N10" i="8"/>
  <c r="M10" i="8"/>
  <c r="L10" i="8"/>
  <c r="K10" i="8"/>
  <c r="J10" i="8"/>
  <c r="I10" i="8"/>
  <c r="H10" i="8"/>
  <c r="G10" i="8"/>
  <c r="F10" i="8"/>
  <c r="E10" i="8"/>
  <c r="B10" i="8"/>
  <c r="A10" i="8"/>
  <c r="O9" i="8"/>
  <c r="N9" i="8"/>
  <c r="M9" i="8"/>
  <c r="L9" i="8"/>
  <c r="K9" i="8"/>
  <c r="J9" i="8"/>
  <c r="I9" i="8"/>
  <c r="H9" i="8"/>
  <c r="G9" i="8"/>
  <c r="F9" i="8"/>
  <c r="E9" i="8"/>
  <c r="B9" i="8"/>
  <c r="A9" i="8"/>
  <c r="O8" i="8"/>
  <c r="N8" i="8"/>
  <c r="M8" i="8"/>
  <c r="L8" i="8"/>
  <c r="K8" i="8"/>
  <c r="J8" i="8"/>
  <c r="I8" i="8"/>
  <c r="H8" i="8"/>
  <c r="G8" i="8"/>
  <c r="F8" i="8"/>
  <c r="E8" i="8"/>
  <c r="B8" i="8"/>
  <c r="A8" i="8"/>
  <c r="O7" i="8"/>
  <c r="N7" i="8"/>
  <c r="M7" i="8"/>
  <c r="L7" i="8"/>
  <c r="K7" i="8"/>
  <c r="J7" i="8"/>
  <c r="I7" i="8"/>
  <c r="H7" i="8"/>
  <c r="G7" i="8"/>
  <c r="F7" i="8"/>
  <c r="E7" i="8"/>
  <c r="B7" i="8"/>
  <c r="A7" i="8"/>
  <c r="O6" i="8"/>
  <c r="N6" i="8"/>
  <c r="M6" i="8"/>
  <c r="L6" i="8"/>
  <c r="K6" i="8"/>
  <c r="J6" i="8"/>
  <c r="I6" i="8"/>
  <c r="H6" i="8"/>
  <c r="G6" i="8"/>
  <c r="F6" i="8"/>
  <c r="E6" i="8"/>
  <c r="B6" i="8"/>
  <c r="A6" i="8"/>
  <c r="O5" i="8"/>
  <c r="N5" i="8"/>
  <c r="M5" i="8"/>
  <c r="L5" i="8"/>
  <c r="K5" i="8"/>
  <c r="J5" i="8"/>
  <c r="I5" i="8"/>
  <c r="H5" i="8"/>
  <c r="G5" i="8"/>
  <c r="F5" i="8"/>
  <c r="E5" i="8"/>
  <c r="B5" i="8"/>
  <c r="A5" i="8"/>
  <c r="O4" i="8"/>
  <c r="N4" i="8"/>
  <c r="M4" i="8"/>
  <c r="L4" i="8"/>
  <c r="K4" i="8"/>
  <c r="J4" i="8"/>
  <c r="I4" i="8"/>
  <c r="H4" i="8"/>
  <c r="G4" i="8"/>
  <c r="F4" i="8"/>
  <c r="E4" i="8"/>
  <c r="B4" i="8"/>
  <c r="A4" i="8"/>
  <c r="O3" i="8"/>
  <c r="N3" i="8"/>
  <c r="M3" i="8"/>
  <c r="L3" i="8"/>
  <c r="K3" i="8"/>
  <c r="J3" i="8"/>
  <c r="I3" i="8"/>
  <c r="H3" i="8"/>
  <c r="G3" i="8"/>
  <c r="F3" i="8"/>
  <c r="E3" i="8"/>
  <c r="B3" i="8"/>
  <c r="A3" i="8"/>
  <c r="O2" i="8"/>
  <c r="N2" i="8"/>
  <c r="M2" i="8"/>
  <c r="L2" i="8"/>
  <c r="K2" i="8"/>
  <c r="J2" i="8"/>
  <c r="I2" i="8"/>
  <c r="H2" i="8"/>
  <c r="G2" i="8"/>
  <c r="F2" i="8"/>
  <c r="E2" i="8"/>
  <c r="B2" i="8"/>
  <c r="A2" i="8"/>
  <c r="L61" i="7"/>
  <c r="K61" i="7"/>
  <c r="J61" i="7"/>
  <c r="I61" i="7"/>
  <c r="H61" i="7"/>
  <c r="G61" i="7"/>
  <c r="F61" i="7"/>
  <c r="E61" i="7"/>
  <c r="B61" i="7"/>
  <c r="A61" i="7"/>
  <c r="L60" i="7"/>
  <c r="K60" i="7"/>
  <c r="J60" i="7"/>
  <c r="I60" i="7"/>
  <c r="H60" i="7"/>
  <c r="G60" i="7"/>
  <c r="F60" i="7"/>
  <c r="E60" i="7"/>
  <c r="B60" i="7"/>
  <c r="A60" i="7"/>
  <c r="L59" i="7"/>
  <c r="K59" i="7"/>
  <c r="J59" i="7"/>
  <c r="I59" i="7"/>
  <c r="H59" i="7"/>
  <c r="G59" i="7"/>
  <c r="F59" i="7"/>
  <c r="E59" i="7"/>
  <c r="B59" i="7"/>
  <c r="A59" i="7"/>
  <c r="L58" i="7"/>
  <c r="K58" i="7"/>
  <c r="J58" i="7"/>
  <c r="I58" i="7"/>
  <c r="H58" i="7"/>
  <c r="G58" i="7"/>
  <c r="F58" i="7"/>
  <c r="E58" i="7"/>
  <c r="B58" i="7"/>
  <c r="A58" i="7"/>
  <c r="L57" i="7"/>
  <c r="K57" i="7"/>
  <c r="J57" i="7"/>
  <c r="I57" i="7"/>
  <c r="H57" i="7"/>
  <c r="G57" i="7"/>
  <c r="F57" i="7"/>
  <c r="E57" i="7"/>
  <c r="B57" i="7"/>
  <c r="A57" i="7"/>
  <c r="L56" i="7"/>
  <c r="K56" i="7"/>
  <c r="J56" i="7"/>
  <c r="I56" i="7"/>
  <c r="H56" i="7"/>
  <c r="G56" i="7"/>
  <c r="F56" i="7"/>
  <c r="E56" i="7"/>
  <c r="B56" i="7"/>
  <c r="A56" i="7"/>
  <c r="L55" i="7"/>
  <c r="K55" i="7"/>
  <c r="J55" i="7"/>
  <c r="I55" i="7"/>
  <c r="H55" i="7"/>
  <c r="G55" i="7"/>
  <c r="F55" i="7"/>
  <c r="E55" i="7"/>
  <c r="B55" i="7"/>
  <c r="A55" i="7"/>
  <c r="L54" i="7"/>
  <c r="K54" i="7"/>
  <c r="J54" i="7"/>
  <c r="I54" i="7"/>
  <c r="H54" i="7"/>
  <c r="G54" i="7"/>
  <c r="F54" i="7"/>
  <c r="E54" i="7"/>
  <c r="B54" i="7"/>
  <c r="A54" i="7"/>
  <c r="L53" i="7"/>
  <c r="K53" i="7"/>
  <c r="J53" i="7"/>
  <c r="I53" i="7"/>
  <c r="H53" i="7"/>
  <c r="G53" i="7"/>
  <c r="F53" i="7"/>
  <c r="E53" i="7"/>
  <c r="B53" i="7"/>
  <c r="A53" i="7"/>
  <c r="L52" i="7"/>
  <c r="K52" i="7"/>
  <c r="J52" i="7"/>
  <c r="I52" i="7"/>
  <c r="H52" i="7"/>
  <c r="G52" i="7"/>
  <c r="F52" i="7"/>
  <c r="E52" i="7"/>
  <c r="B52" i="7"/>
  <c r="A52" i="7"/>
  <c r="L51" i="7"/>
  <c r="K51" i="7"/>
  <c r="J51" i="7"/>
  <c r="I51" i="7"/>
  <c r="H51" i="7"/>
  <c r="G51" i="7"/>
  <c r="F51" i="7"/>
  <c r="E51" i="7"/>
  <c r="B51" i="7"/>
  <c r="A51" i="7"/>
  <c r="L50" i="7"/>
  <c r="K50" i="7"/>
  <c r="J50" i="7"/>
  <c r="I50" i="7"/>
  <c r="H50" i="7"/>
  <c r="G50" i="7"/>
  <c r="F50" i="7"/>
  <c r="E50" i="7"/>
  <c r="B50" i="7"/>
  <c r="A50" i="7"/>
  <c r="L49" i="7"/>
  <c r="K49" i="7"/>
  <c r="J49" i="7"/>
  <c r="I49" i="7"/>
  <c r="H49" i="7"/>
  <c r="G49" i="7"/>
  <c r="F49" i="7"/>
  <c r="E49" i="7"/>
  <c r="B49" i="7"/>
  <c r="A49" i="7"/>
  <c r="L48" i="7"/>
  <c r="K48" i="7"/>
  <c r="J48" i="7"/>
  <c r="I48" i="7"/>
  <c r="H48" i="7"/>
  <c r="G48" i="7"/>
  <c r="F48" i="7"/>
  <c r="E48" i="7"/>
  <c r="B48" i="7"/>
  <c r="A48" i="7"/>
  <c r="L47" i="7"/>
  <c r="K47" i="7"/>
  <c r="J47" i="7"/>
  <c r="I47" i="7"/>
  <c r="H47" i="7"/>
  <c r="G47" i="7"/>
  <c r="F47" i="7"/>
  <c r="E47" i="7"/>
  <c r="B47" i="7"/>
  <c r="A47" i="7"/>
  <c r="L46" i="7"/>
  <c r="K46" i="7"/>
  <c r="J46" i="7"/>
  <c r="I46" i="7"/>
  <c r="H46" i="7"/>
  <c r="G46" i="7"/>
  <c r="F46" i="7"/>
  <c r="E46" i="7"/>
  <c r="B46" i="7"/>
  <c r="A46" i="7"/>
  <c r="L45" i="7"/>
  <c r="K45" i="7"/>
  <c r="J45" i="7"/>
  <c r="I45" i="7"/>
  <c r="H45" i="7"/>
  <c r="G45" i="7"/>
  <c r="F45" i="7"/>
  <c r="E45" i="7"/>
  <c r="B45" i="7"/>
  <c r="A45" i="7"/>
  <c r="L44" i="7"/>
  <c r="K44" i="7"/>
  <c r="J44" i="7"/>
  <c r="I44" i="7"/>
  <c r="H44" i="7"/>
  <c r="G44" i="7"/>
  <c r="F44" i="7"/>
  <c r="E44" i="7"/>
  <c r="B44" i="7"/>
  <c r="A44" i="7"/>
  <c r="L43" i="7"/>
  <c r="K43" i="7"/>
  <c r="J43" i="7"/>
  <c r="I43" i="7"/>
  <c r="H43" i="7"/>
  <c r="G43" i="7"/>
  <c r="F43" i="7"/>
  <c r="E43" i="7"/>
  <c r="B43" i="7"/>
  <c r="A43" i="7"/>
  <c r="L42" i="7"/>
  <c r="K42" i="7"/>
  <c r="J42" i="7"/>
  <c r="I42" i="7"/>
  <c r="H42" i="7"/>
  <c r="G42" i="7"/>
  <c r="F42" i="7"/>
  <c r="E42" i="7"/>
  <c r="B42" i="7"/>
  <c r="A42" i="7"/>
  <c r="L41" i="7"/>
  <c r="K41" i="7"/>
  <c r="J41" i="7"/>
  <c r="I41" i="7"/>
  <c r="H41" i="7"/>
  <c r="G41" i="7"/>
  <c r="F41" i="7"/>
  <c r="E41" i="7"/>
  <c r="B41" i="7"/>
  <c r="A41" i="7"/>
  <c r="L40" i="7"/>
  <c r="K40" i="7"/>
  <c r="J40" i="7"/>
  <c r="I40" i="7"/>
  <c r="H40" i="7"/>
  <c r="G40" i="7"/>
  <c r="F40" i="7"/>
  <c r="E40" i="7"/>
  <c r="B40" i="7"/>
  <c r="A40" i="7"/>
  <c r="L39" i="7"/>
  <c r="K39" i="7"/>
  <c r="J39" i="7"/>
  <c r="I39" i="7"/>
  <c r="H39" i="7"/>
  <c r="G39" i="7"/>
  <c r="F39" i="7"/>
  <c r="E39" i="7"/>
  <c r="B39" i="7"/>
  <c r="A39" i="7"/>
  <c r="L38" i="7"/>
  <c r="K38" i="7"/>
  <c r="J38" i="7"/>
  <c r="I38" i="7"/>
  <c r="H38" i="7"/>
  <c r="G38" i="7"/>
  <c r="F38" i="7"/>
  <c r="E38" i="7"/>
  <c r="B38" i="7"/>
  <c r="A38" i="7"/>
  <c r="L37" i="7"/>
  <c r="K37" i="7"/>
  <c r="J37" i="7"/>
  <c r="I37" i="7"/>
  <c r="H37" i="7"/>
  <c r="G37" i="7"/>
  <c r="F37" i="7"/>
  <c r="E37" i="7"/>
  <c r="B37" i="7"/>
  <c r="A37" i="7"/>
  <c r="L36" i="7"/>
  <c r="K36" i="7"/>
  <c r="J36" i="7"/>
  <c r="I36" i="7"/>
  <c r="H36" i="7"/>
  <c r="G36" i="7"/>
  <c r="F36" i="7"/>
  <c r="E36" i="7"/>
  <c r="B36" i="7"/>
  <c r="A36" i="7"/>
  <c r="L35" i="7"/>
  <c r="K35" i="7"/>
  <c r="J35" i="7"/>
  <c r="I35" i="7"/>
  <c r="H35" i="7"/>
  <c r="G35" i="7"/>
  <c r="F35" i="7"/>
  <c r="E35" i="7"/>
  <c r="B35" i="7"/>
  <c r="A35" i="7"/>
  <c r="L34" i="7"/>
  <c r="K34" i="7"/>
  <c r="J34" i="7"/>
  <c r="I34" i="7"/>
  <c r="H34" i="7"/>
  <c r="G34" i="7"/>
  <c r="F34" i="7"/>
  <c r="E34" i="7"/>
  <c r="B34" i="7"/>
  <c r="A34" i="7"/>
  <c r="L33" i="7"/>
  <c r="K33" i="7"/>
  <c r="J33" i="7"/>
  <c r="I33" i="7"/>
  <c r="H33" i="7"/>
  <c r="G33" i="7"/>
  <c r="F33" i="7"/>
  <c r="E33" i="7"/>
  <c r="B33" i="7"/>
  <c r="A33" i="7"/>
  <c r="L32" i="7"/>
  <c r="K32" i="7"/>
  <c r="J32" i="7"/>
  <c r="I32" i="7"/>
  <c r="H32" i="7"/>
  <c r="G32" i="7"/>
  <c r="F32" i="7"/>
  <c r="E32" i="7"/>
  <c r="B32" i="7"/>
  <c r="A32" i="7"/>
  <c r="L31" i="7"/>
  <c r="K31" i="7"/>
  <c r="J31" i="7"/>
  <c r="I31" i="7"/>
  <c r="H31" i="7"/>
  <c r="G31" i="7"/>
  <c r="F31" i="7"/>
  <c r="E31" i="7"/>
  <c r="B31" i="7"/>
  <c r="A31" i="7"/>
  <c r="L30" i="7"/>
  <c r="K30" i="7"/>
  <c r="J30" i="7"/>
  <c r="I30" i="7"/>
  <c r="H30" i="7"/>
  <c r="G30" i="7"/>
  <c r="F30" i="7"/>
  <c r="E30" i="7"/>
  <c r="B30" i="7"/>
  <c r="A30" i="7"/>
  <c r="L29" i="7"/>
  <c r="K29" i="7"/>
  <c r="J29" i="7"/>
  <c r="I29" i="7"/>
  <c r="H29" i="7"/>
  <c r="G29" i="7"/>
  <c r="F29" i="7"/>
  <c r="E29" i="7"/>
  <c r="B29" i="7"/>
  <c r="A29" i="7"/>
  <c r="L28" i="7"/>
  <c r="K28" i="7"/>
  <c r="J28" i="7"/>
  <c r="I28" i="7"/>
  <c r="H28" i="7"/>
  <c r="G28" i="7"/>
  <c r="F28" i="7"/>
  <c r="E28" i="7"/>
  <c r="B28" i="7"/>
  <c r="A28" i="7"/>
  <c r="L27" i="7"/>
  <c r="K27" i="7"/>
  <c r="J27" i="7"/>
  <c r="I27" i="7"/>
  <c r="H27" i="7"/>
  <c r="G27" i="7"/>
  <c r="F27" i="7"/>
  <c r="E27" i="7"/>
  <c r="B27" i="7"/>
  <c r="A27" i="7"/>
  <c r="L26" i="7"/>
  <c r="K26" i="7"/>
  <c r="J26" i="7"/>
  <c r="I26" i="7"/>
  <c r="H26" i="7"/>
  <c r="G26" i="7"/>
  <c r="F26" i="7"/>
  <c r="E26" i="7"/>
  <c r="B26" i="7"/>
  <c r="A26" i="7"/>
  <c r="L25" i="7"/>
  <c r="K25" i="7"/>
  <c r="J25" i="7"/>
  <c r="I25" i="7"/>
  <c r="H25" i="7"/>
  <c r="G25" i="7"/>
  <c r="F25" i="7"/>
  <c r="E25" i="7"/>
  <c r="B25" i="7"/>
  <c r="A25" i="7"/>
  <c r="L24" i="7"/>
  <c r="K24" i="7"/>
  <c r="J24" i="7"/>
  <c r="I24" i="7"/>
  <c r="H24" i="7"/>
  <c r="G24" i="7"/>
  <c r="F24" i="7"/>
  <c r="E24" i="7"/>
  <c r="B24" i="7"/>
  <c r="A24" i="7"/>
  <c r="L23" i="7"/>
  <c r="K23" i="7"/>
  <c r="J23" i="7"/>
  <c r="I23" i="7"/>
  <c r="H23" i="7"/>
  <c r="G23" i="7"/>
  <c r="F23" i="7"/>
  <c r="E23" i="7"/>
  <c r="B23" i="7"/>
  <c r="A23" i="7"/>
  <c r="L22" i="7"/>
  <c r="K22" i="7"/>
  <c r="J22" i="7"/>
  <c r="I22" i="7"/>
  <c r="H22" i="7"/>
  <c r="G22" i="7"/>
  <c r="F22" i="7"/>
  <c r="E22" i="7"/>
  <c r="B22" i="7"/>
  <c r="A22" i="7"/>
  <c r="L21" i="7"/>
  <c r="K21" i="7"/>
  <c r="J21" i="7"/>
  <c r="I21" i="7"/>
  <c r="H21" i="7"/>
  <c r="G21" i="7"/>
  <c r="F21" i="7"/>
  <c r="E21" i="7"/>
  <c r="B21" i="7"/>
  <c r="A21" i="7"/>
  <c r="L20" i="7"/>
  <c r="K20" i="7"/>
  <c r="J20" i="7"/>
  <c r="I20" i="7"/>
  <c r="H20" i="7"/>
  <c r="G20" i="7"/>
  <c r="F20" i="7"/>
  <c r="E20" i="7"/>
  <c r="B20" i="7"/>
  <c r="A20" i="7"/>
  <c r="L19" i="7"/>
  <c r="K19" i="7"/>
  <c r="J19" i="7"/>
  <c r="I19" i="7"/>
  <c r="H19" i="7"/>
  <c r="G19" i="7"/>
  <c r="F19" i="7"/>
  <c r="E19" i="7"/>
  <c r="B19" i="7"/>
  <c r="A19" i="7"/>
  <c r="L18" i="7"/>
  <c r="K18" i="7"/>
  <c r="J18" i="7"/>
  <c r="I18" i="7"/>
  <c r="H18" i="7"/>
  <c r="G18" i="7"/>
  <c r="F18" i="7"/>
  <c r="E18" i="7"/>
  <c r="B18" i="7"/>
  <c r="A18" i="7"/>
  <c r="L17" i="7"/>
  <c r="K17" i="7"/>
  <c r="J17" i="7"/>
  <c r="I17" i="7"/>
  <c r="H17" i="7"/>
  <c r="G17" i="7"/>
  <c r="F17" i="7"/>
  <c r="E17" i="7"/>
  <c r="B17" i="7"/>
  <c r="A17" i="7"/>
  <c r="L16" i="7"/>
  <c r="K16" i="7"/>
  <c r="J16" i="7"/>
  <c r="I16" i="7"/>
  <c r="H16" i="7"/>
  <c r="G16" i="7"/>
  <c r="F16" i="7"/>
  <c r="E16" i="7"/>
  <c r="B16" i="7"/>
  <c r="A16" i="7"/>
  <c r="L15" i="7"/>
  <c r="K15" i="7"/>
  <c r="J15" i="7"/>
  <c r="I15" i="7"/>
  <c r="H15" i="7"/>
  <c r="G15" i="7"/>
  <c r="F15" i="7"/>
  <c r="E15" i="7"/>
  <c r="B15" i="7"/>
  <c r="A15" i="7"/>
  <c r="L14" i="7"/>
  <c r="K14" i="7"/>
  <c r="J14" i="7"/>
  <c r="I14" i="7"/>
  <c r="H14" i="7"/>
  <c r="G14" i="7"/>
  <c r="F14" i="7"/>
  <c r="E14" i="7"/>
  <c r="B14" i="7"/>
  <c r="A14" i="7"/>
  <c r="L13" i="7"/>
  <c r="K13" i="7"/>
  <c r="J13" i="7"/>
  <c r="I13" i="7"/>
  <c r="H13" i="7"/>
  <c r="G13" i="7"/>
  <c r="F13" i="7"/>
  <c r="E13" i="7"/>
  <c r="B13" i="7"/>
  <c r="A13" i="7"/>
  <c r="L12" i="7"/>
  <c r="K12" i="7"/>
  <c r="J12" i="7"/>
  <c r="I12" i="7"/>
  <c r="H12" i="7"/>
  <c r="G12" i="7"/>
  <c r="F12" i="7"/>
  <c r="E12" i="7"/>
  <c r="B12" i="7"/>
  <c r="A12" i="7"/>
  <c r="L11" i="7"/>
  <c r="K11" i="7"/>
  <c r="J11" i="7"/>
  <c r="I11" i="7"/>
  <c r="H11" i="7"/>
  <c r="G11" i="7"/>
  <c r="F11" i="7"/>
  <c r="E11" i="7"/>
  <c r="B11" i="7"/>
  <c r="A11" i="7"/>
  <c r="L10" i="7"/>
  <c r="K10" i="7"/>
  <c r="J10" i="7"/>
  <c r="I10" i="7"/>
  <c r="H10" i="7"/>
  <c r="G10" i="7"/>
  <c r="F10" i="7"/>
  <c r="E10" i="7"/>
  <c r="B10" i="7"/>
  <c r="A10" i="7"/>
  <c r="L9" i="7"/>
  <c r="K9" i="7"/>
  <c r="J9" i="7"/>
  <c r="I9" i="7"/>
  <c r="H9" i="7"/>
  <c r="G9" i="7"/>
  <c r="F9" i="7"/>
  <c r="E9" i="7"/>
  <c r="B9" i="7"/>
  <c r="A9" i="7"/>
  <c r="L8" i="7"/>
  <c r="K8" i="7"/>
  <c r="J8" i="7"/>
  <c r="I8" i="7"/>
  <c r="H8" i="7"/>
  <c r="G8" i="7"/>
  <c r="F8" i="7"/>
  <c r="E8" i="7"/>
  <c r="B8" i="7"/>
  <c r="A8" i="7"/>
  <c r="L7" i="7"/>
  <c r="K7" i="7"/>
  <c r="J7" i="7"/>
  <c r="I7" i="7"/>
  <c r="H7" i="7"/>
  <c r="G7" i="7"/>
  <c r="F7" i="7"/>
  <c r="E7" i="7"/>
  <c r="B7" i="7"/>
  <c r="A7" i="7"/>
  <c r="L6" i="7"/>
  <c r="K6" i="7"/>
  <c r="J6" i="7"/>
  <c r="I6" i="7"/>
  <c r="H6" i="7"/>
  <c r="G6" i="7"/>
  <c r="F6" i="7"/>
  <c r="E6" i="7"/>
  <c r="B6" i="7"/>
  <c r="A6" i="7"/>
  <c r="L5" i="7"/>
  <c r="K5" i="7"/>
  <c r="J5" i="7"/>
  <c r="I5" i="7"/>
  <c r="H5" i="7"/>
  <c r="G5" i="7"/>
  <c r="F5" i="7"/>
  <c r="E5" i="7"/>
  <c r="B5" i="7"/>
  <c r="A5" i="7"/>
  <c r="L4" i="7"/>
  <c r="K4" i="7"/>
  <c r="J4" i="7"/>
  <c r="I4" i="7"/>
  <c r="H4" i="7"/>
  <c r="G4" i="7"/>
  <c r="F4" i="7"/>
  <c r="E4" i="7"/>
  <c r="B4" i="7"/>
  <c r="A4" i="7"/>
  <c r="L3" i="7"/>
  <c r="K3" i="7"/>
  <c r="J3" i="7"/>
  <c r="I3" i="7"/>
  <c r="H3" i="7"/>
  <c r="G3" i="7"/>
  <c r="F3" i="7"/>
  <c r="E3" i="7"/>
  <c r="B3" i="7"/>
  <c r="A3" i="7"/>
  <c r="L2" i="7"/>
  <c r="K2" i="7"/>
  <c r="J2" i="7"/>
  <c r="I2" i="7"/>
  <c r="H2" i="7"/>
  <c r="G2" i="7"/>
  <c r="F2" i="7"/>
  <c r="E2" i="7"/>
  <c r="B2" i="7"/>
  <c r="A2" i="7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B61" i="6"/>
  <c r="A61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B60" i="6"/>
  <c r="A60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B59" i="6"/>
  <c r="A59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B58" i="6"/>
  <c r="A58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B57" i="6"/>
  <c r="A57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B56" i="6"/>
  <c r="A56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B55" i="6"/>
  <c r="A55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B54" i="6"/>
  <c r="A54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B53" i="6"/>
  <c r="A53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B52" i="6"/>
  <c r="A52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B51" i="6"/>
  <c r="A51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B50" i="6"/>
  <c r="A50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B49" i="6"/>
  <c r="A49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B48" i="6"/>
  <c r="A48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B47" i="6"/>
  <c r="A47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B46" i="6"/>
  <c r="A46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B45" i="6"/>
  <c r="A45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B44" i="6"/>
  <c r="A44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B43" i="6"/>
  <c r="A43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B42" i="6"/>
  <c r="A42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B41" i="6"/>
  <c r="A41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B40" i="6"/>
  <c r="A40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B39" i="6"/>
  <c r="A39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B38" i="6"/>
  <c r="A38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B37" i="6"/>
  <c r="A37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B36" i="6"/>
  <c r="A36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B35" i="6"/>
  <c r="A35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B34" i="6"/>
  <c r="A34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B33" i="6"/>
  <c r="A33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B32" i="6"/>
  <c r="A32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B31" i="6"/>
  <c r="A31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B30" i="6"/>
  <c r="A30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B29" i="6"/>
  <c r="A29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B28" i="6"/>
  <c r="A28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B27" i="6"/>
  <c r="A27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B26" i="6"/>
  <c r="A26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B25" i="6"/>
  <c r="A25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B24" i="6"/>
  <c r="A24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B23" i="6"/>
  <c r="A23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B22" i="6"/>
  <c r="A22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B21" i="6"/>
  <c r="A21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B20" i="6"/>
  <c r="A20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B19" i="6"/>
  <c r="A19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B18" i="6"/>
  <c r="A18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B17" i="6"/>
  <c r="A17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B16" i="6"/>
  <c r="A16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B15" i="6"/>
  <c r="A15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B14" i="6"/>
  <c r="A14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B13" i="6"/>
  <c r="A13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B12" i="6"/>
  <c r="A12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B11" i="6"/>
  <c r="A11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B10" i="6"/>
  <c r="A10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B9" i="6"/>
  <c r="A9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B8" i="6"/>
  <c r="A8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B7" i="6"/>
  <c r="A7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B6" i="6"/>
  <c r="A6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B5" i="6"/>
  <c r="A5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B4" i="6"/>
  <c r="A4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B3" i="6"/>
  <c r="A3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B2" i="6"/>
  <c r="A2" i="6"/>
  <c r="L64" i="4"/>
  <c r="D64" i="4"/>
  <c r="C61" i="7" s="1"/>
  <c r="D61" i="7" s="1"/>
  <c r="B64" i="4"/>
  <c r="L63" i="4"/>
  <c r="D63" i="4"/>
  <c r="C60" i="7" s="1"/>
  <c r="D60" i="7" s="1"/>
  <c r="B63" i="4"/>
  <c r="L62" i="4"/>
  <c r="D62" i="4"/>
  <c r="C59" i="7" s="1"/>
  <c r="D59" i="7" s="1"/>
  <c r="B62" i="4"/>
  <c r="L61" i="4"/>
  <c r="D61" i="4"/>
  <c r="C58" i="7" s="1"/>
  <c r="D58" i="7" s="1"/>
  <c r="B61" i="4"/>
  <c r="L60" i="4"/>
  <c r="D60" i="4"/>
  <c r="C57" i="7" s="1"/>
  <c r="D57" i="7" s="1"/>
  <c r="B60" i="4"/>
  <c r="L59" i="4"/>
  <c r="D59" i="4"/>
  <c r="C56" i="7" s="1"/>
  <c r="D56" i="7" s="1"/>
  <c r="B59" i="4"/>
  <c r="L58" i="4"/>
  <c r="D58" i="4"/>
  <c r="C55" i="7" s="1"/>
  <c r="D55" i="7" s="1"/>
  <c r="B58" i="4"/>
  <c r="L57" i="4"/>
  <c r="D57" i="4"/>
  <c r="C54" i="7" s="1"/>
  <c r="D54" i="7" s="1"/>
  <c r="B57" i="4"/>
  <c r="L56" i="4"/>
  <c r="D56" i="4"/>
  <c r="C53" i="7" s="1"/>
  <c r="D53" i="7" s="1"/>
  <c r="B56" i="4"/>
  <c r="L55" i="4"/>
  <c r="D55" i="4"/>
  <c r="C52" i="7" s="1"/>
  <c r="D52" i="7" s="1"/>
  <c r="B55" i="4"/>
  <c r="L54" i="4"/>
  <c r="D54" i="4"/>
  <c r="C51" i="7" s="1"/>
  <c r="D51" i="7" s="1"/>
  <c r="B54" i="4"/>
  <c r="L53" i="4"/>
  <c r="D53" i="4"/>
  <c r="C50" i="7" s="1"/>
  <c r="D50" i="7" s="1"/>
  <c r="B53" i="4"/>
  <c r="L52" i="4"/>
  <c r="D52" i="4"/>
  <c r="C49" i="7" s="1"/>
  <c r="D49" i="7" s="1"/>
  <c r="B52" i="4"/>
  <c r="L51" i="4"/>
  <c r="D51" i="4"/>
  <c r="C48" i="7" s="1"/>
  <c r="D48" i="7" s="1"/>
  <c r="B51" i="4"/>
  <c r="L50" i="4"/>
  <c r="D50" i="4"/>
  <c r="C47" i="7" s="1"/>
  <c r="D47" i="7" s="1"/>
  <c r="B50" i="4"/>
  <c r="L49" i="4"/>
  <c r="D49" i="4"/>
  <c r="C46" i="7" s="1"/>
  <c r="D46" i="7" s="1"/>
  <c r="B49" i="4"/>
  <c r="L48" i="4"/>
  <c r="D48" i="4"/>
  <c r="C45" i="7" s="1"/>
  <c r="D45" i="7" s="1"/>
  <c r="B48" i="4"/>
  <c r="L47" i="4"/>
  <c r="D47" i="4"/>
  <c r="C44" i="7" s="1"/>
  <c r="D44" i="7" s="1"/>
  <c r="B47" i="4"/>
  <c r="L46" i="4"/>
  <c r="D46" i="4"/>
  <c r="C43" i="7" s="1"/>
  <c r="D43" i="7" s="1"/>
  <c r="B46" i="4"/>
  <c r="L45" i="4"/>
  <c r="D45" i="4"/>
  <c r="C42" i="7" s="1"/>
  <c r="D42" i="7" s="1"/>
  <c r="B45" i="4"/>
  <c r="L44" i="4"/>
  <c r="D44" i="4"/>
  <c r="C41" i="7" s="1"/>
  <c r="D41" i="7" s="1"/>
  <c r="B44" i="4"/>
  <c r="L43" i="4"/>
  <c r="D43" i="4"/>
  <c r="C40" i="7" s="1"/>
  <c r="D40" i="7" s="1"/>
  <c r="B43" i="4"/>
  <c r="L42" i="4"/>
  <c r="D42" i="4"/>
  <c r="C39" i="7" s="1"/>
  <c r="D39" i="7" s="1"/>
  <c r="B42" i="4"/>
  <c r="L41" i="4"/>
  <c r="D41" i="4"/>
  <c r="C38" i="7" s="1"/>
  <c r="D38" i="7" s="1"/>
  <c r="B41" i="4"/>
  <c r="L40" i="4"/>
  <c r="D40" i="4"/>
  <c r="C37" i="7" s="1"/>
  <c r="D37" i="7" s="1"/>
  <c r="B40" i="4"/>
  <c r="L39" i="4"/>
  <c r="D39" i="4"/>
  <c r="C36" i="7" s="1"/>
  <c r="D36" i="7" s="1"/>
  <c r="B39" i="4"/>
  <c r="L38" i="4"/>
  <c r="D38" i="4"/>
  <c r="C35" i="7" s="1"/>
  <c r="D35" i="7" s="1"/>
  <c r="B38" i="4"/>
  <c r="L37" i="4"/>
  <c r="D37" i="4"/>
  <c r="C34" i="7" s="1"/>
  <c r="D34" i="7" s="1"/>
  <c r="B37" i="4"/>
  <c r="L36" i="4"/>
  <c r="D36" i="4"/>
  <c r="C33" i="7" s="1"/>
  <c r="D33" i="7" s="1"/>
  <c r="B36" i="4"/>
  <c r="L35" i="4"/>
  <c r="D35" i="4"/>
  <c r="C32" i="7" s="1"/>
  <c r="D32" i="7" s="1"/>
  <c r="B35" i="4"/>
  <c r="L34" i="4"/>
  <c r="D34" i="4"/>
  <c r="C31" i="7" s="1"/>
  <c r="D31" i="7" s="1"/>
  <c r="B34" i="4"/>
  <c r="L33" i="4"/>
  <c r="D33" i="4"/>
  <c r="C30" i="7" s="1"/>
  <c r="D30" i="7" s="1"/>
  <c r="B33" i="4"/>
  <c r="L32" i="4"/>
  <c r="D32" i="4"/>
  <c r="C29" i="7" s="1"/>
  <c r="D29" i="7" s="1"/>
  <c r="B32" i="4"/>
  <c r="L31" i="4"/>
  <c r="D31" i="4"/>
  <c r="C28" i="7" s="1"/>
  <c r="D28" i="7" s="1"/>
  <c r="B31" i="4"/>
  <c r="L30" i="4"/>
  <c r="D30" i="4"/>
  <c r="C27" i="7" s="1"/>
  <c r="D27" i="7" s="1"/>
  <c r="B30" i="4"/>
  <c r="L29" i="4"/>
  <c r="D29" i="4"/>
  <c r="C26" i="7" s="1"/>
  <c r="D26" i="7" s="1"/>
  <c r="B29" i="4"/>
  <c r="L28" i="4"/>
  <c r="D28" i="4"/>
  <c r="C25" i="7" s="1"/>
  <c r="D25" i="7" s="1"/>
  <c r="B28" i="4"/>
  <c r="L27" i="4"/>
  <c r="D27" i="4"/>
  <c r="C24" i="7" s="1"/>
  <c r="D24" i="7" s="1"/>
  <c r="B27" i="4"/>
  <c r="L26" i="4"/>
  <c r="D26" i="4"/>
  <c r="C23" i="7" s="1"/>
  <c r="D23" i="7" s="1"/>
  <c r="B26" i="4"/>
  <c r="L25" i="4"/>
  <c r="D25" i="4"/>
  <c r="C22" i="7" s="1"/>
  <c r="D22" i="7" s="1"/>
  <c r="B25" i="4"/>
  <c r="L24" i="4"/>
  <c r="D24" i="4"/>
  <c r="C21" i="7" s="1"/>
  <c r="D21" i="7" s="1"/>
  <c r="B24" i="4"/>
  <c r="L23" i="4"/>
  <c r="D23" i="4"/>
  <c r="C20" i="7" s="1"/>
  <c r="D20" i="7" s="1"/>
  <c r="B23" i="4"/>
  <c r="L22" i="4"/>
  <c r="D22" i="4"/>
  <c r="C19" i="7" s="1"/>
  <c r="D19" i="7" s="1"/>
  <c r="B22" i="4"/>
  <c r="L21" i="4"/>
  <c r="D21" i="4"/>
  <c r="C18" i="7" s="1"/>
  <c r="D18" i="7" s="1"/>
  <c r="B21" i="4"/>
  <c r="L20" i="4"/>
  <c r="D20" i="4"/>
  <c r="C17" i="7" s="1"/>
  <c r="D17" i="7" s="1"/>
  <c r="B20" i="4"/>
  <c r="L19" i="4"/>
  <c r="D19" i="4"/>
  <c r="C16" i="7" s="1"/>
  <c r="D16" i="7" s="1"/>
  <c r="B19" i="4"/>
  <c r="L18" i="4"/>
  <c r="D18" i="4"/>
  <c r="C15" i="7" s="1"/>
  <c r="D15" i="7" s="1"/>
  <c r="B18" i="4"/>
  <c r="L17" i="4"/>
  <c r="D17" i="4"/>
  <c r="C14" i="7" s="1"/>
  <c r="D14" i="7" s="1"/>
  <c r="B17" i="4"/>
  <c r="L16" i="4"/>
  <c r="D16" i="4"/>
  <c r="C13" i="7" s="1"/>
  <c r="D13" i="7" s="1"/>
  <c r="B16" i="4"/>
  <c r="L15" i="4"/>
  <c r="D15" i="4"/>
  <c r="C12" i="7" s="1"/>
  <c r="D12" i="7" s="1"/>
  <c r="B15" i="4"/>
  <c r="L14" i="4"/>
  <c r="D14" i="4"/>
  <c r="C11" i="7" s="1"/>
  <c r="D11" i="7" s="1"/>
  <c r="B14" i="4"/>
  <c r="L13" i="4"/>
  <c r="D13" i="4"/>
  <c r="C10" i="7" s="1"/>
  <c r="D10" i="7" s="1"/>
  <c r="B13" i="4"/>
  <c r="L12" i="4"/>
  <c r="D12" i="4"/>
  <c r="C9" i="7" s="1"/>
  <c r="D9" i="7" s="1"/>
  <c r="B12" i="4"/>
  <c r="L11" i="4"/>
  <c r="D11" i="4"/>
  <c r="C8" i="7" s="1"/>
  <c r="D8" i="7" s="1"/>
  <c r="B11" i="4"/>
  <c r="L10" i="4"/>
  <c r="D10" i="4"/>
  <c r="C7" i="7" s="1"/>
  <c r="D7" i="7" s="1"/>
  <c r="B10" i="4"/>
  <c r="L9" i="4"/>
  <c r="D9" i="4"/>
  <c r="C6" i="7" s="1"/>
  <c r="D6" i="7" s="1"/>
  <c r="B9" i="4"/>
  <c r="L8" i="4"/>
  <c r="D8" i="4"/>
  <c r="C5" i="7" s="1"/>
  <c r="D5" i="7" s="1"/>
  <c r="B8" i="4"/>
  <c r="L7" i="4"/>
  <c r="D7" i="4"/>
  <c r="C4" i="7" s="1"/>
  <c r="D4" i="7" s="1"/>
  <c r="B7" i="4"/>
  <c r="L6" i="4"/>
  <c r="D6" i="4"/>
  <c r="C3" i="7" s="1"/>
  <c r="D3" i="7" s="1"/>
  <c r="B6" i="4"/>
  <c r="L5" i="4"/>
  <c r="D5" i="4"/>
  <c r="C2" i="7" s="1"/>
  <c r="D2" i="7" s="1"/>
  <c r="B5" i="4"/>
  <c r="P64" i="3"/>
  <c r="O64" i="3"/>
  <c r="D64" i="3"/>
  <c r="C61" i="8" s="1"/>
  <c r="D61" i="8" s="1"/>
  <c r="B64" i="3"/>
  <c r="P63" i="3"/>
  <c r="O63" i="3"/>
  <c r="P60" i="8" s="1"/>
  <c r="D63" i="3"/>
  <c r="C60" i="8" s="1"/>
  <c r="D60" i="8" s="1"/>
  <c r="B63" i="3"/>
  <c r="P62" i="3"/>
  <c r="O62" i="3"/>
  <c r="D62" i="3"/>
  <c r="C59" i="8" s="1"/>
  <c r="D59" i="8" s="1"/>
  <c r="B62" i="3"/>
  <c r="P61" i="3"/>
  <c r="O61" i="3"/>
  <c r="D61" i="3"/>
  <c r="C58" i="8" s="1"/>
  <c r="D58" i="8" s="1"/>
  <c r="B61" i="3"/>
  <c r="P60" i="3"/>
  <c r="O60" i="3"/>
  <c r="D60" i="3"/>
  <c r="C57" i="8" s="1"/>
  <c r="D57" i="8" s="1"/>
  <c r="B60" i="3"/>
  <c r="P59" i="3"/>
  <c r="O59" i="3"/>
  <c r="D59" i="3"/>
  <c r="C56" i="8" s="1"/>
  <c r="D56" i="8" s="1"/>
  <c r="B59" i="3"/>
  <c r="P58" i="3"/>
  <c r="O58" i="3"/>
  <c r="D58" i="3"/>
  <c r="C55" i="8" s="1"/>
  <c r="D55" i="8" s="1"/>
  <c r="B58" i="3"/>
  <c r="P57" i="3"/>
  <c r="O57" i="3"/>
  <c r="D57" i="3"/>
  <c r="C54" i="8" s="1"/>
  <c r="D54" i="8" s="1"/>
  <c r="B57" i="3"/>
  <c r="P56" i="3"/>
  <c r="O56" i="3"/>
  <c r="D56" i="3"/>
  <c r="C53" i="8" s="1"/>
  <c r="D53" i="8" s="1"/>
  <c r="B56" i="3"/>
  <c r="P55" i="3"/>
  <c r="O55" i="3"/>
  <c r="D55" i="3"/>
  <c r="C52" i="8" s="1"/>
  <c r="D52" i="8" s="1"/>
  <c r="B55" i="3"/>
  <c r="P54" i="3"/>
  <c r="O54" i="3"/>
  <c r="D54" i="3"/>
  <c r="C51" i="8" s="1"/>
  <c r="D51" i="8" s="1"/>
  <c r="B54" i="3"/>
  <c r="P53" i="3"/>
  <c r="O53" i="3"/>
  <c r="D53" i="3"/>
  <c r="C50" i="8" s="1"/>
  <c r="D50" i="8" s="1"/>
  <c r="B53" i="3"/>
  <c r="P52" i="3"/>
  <c r="O52" i="3"/>
  <c r="D52" i="3"/>
  <c r="C49" i="8" s="1"/>
  <c r="D49" i="8" s="1"/>
  <c r="B52" i="3"/>
  <c r="P51" i="3"/>
  <c r="O51" i="3"/>
  <c r="D51" i="3"/>
  <c r="C48" i="8" s="1"/>
  <c r="D48" i="8" s="1"/>
  <c r="B51" i="3"/>
  <c r="P50" i="3"/>
  <c r="O50" i="3"/>
  <c r="D50" i="3"/>
  <c r="C47" i="8" s="1"/>
  <c r="D47" i="8" s="1"/>
  <c r="B50" i="3"/>
  <c r="P49" i="3"/>
  <c r="O49" i="3"/>
  <c r="D49" i="3"/>
  <c r="C46" i="8" s="1"/>
  <c r="D46" i="8" s="1"/>
  <c r="B49" i="3"/>
  <c r="P48" i="3"/>
  <c r="O48" i="3"/>
  <c r="D48" i="3"/>
  <c r="C45" i="8" s="1"/>
  <c r="D45" i="8" s="1"/>
  <c r="B48" i="3"/>
  <c r="P47" i="3"/>
  <c r="O47" i="3"/>
  <c r="P44" i="8" s="1"/>
  <c r="D47" i="3"/>
  <c r="C44" i="8" s="1"/>
  <c r="D44" i="8" s="1"/>
  <c r="B47" i="3"/>
  <c r="P46" i="3"/>
  <c r="O46" i="3"/>
  <c r="P43" i="8" s="1"/>
  <c r="D46" i="3"/>
  <c r="C43" i="8" s="1"/>
  <c r="D43" i="8" s="1"/>
  <c r="B46" i="3"/>
  <c r="P45" i="3"/>
  <c r="O45" i="3"/>
  <c r="P42" i="8" s="1"/>
  <c r="D45" i="3"/>
  <c r="C42" i="8" s="1"/>
  <c r="D42" i="8" s="1"/>
  <c r="B45" i="3"/>
  <c r="P44" i="3"/>
  <c r="O44" i="3"/>
  <c r="P41" i="8" s="1"/>
  <c r="D44" i="3"/>
  <c r="C41" i="8" s="1"/>
  <c r="D41" i="8" s="1"/>
  <c r="B44" i="3"/>
  <c r="P43" i="3"/>
  <c r="O43" i="3"/>
  <c r="P40" i="8" s="1"/>
  <c r="D43" i="3"/>
  <c r="C40" i="8" s="1"/>
  <c r="D40" i="8" s="1"/>
  <c r="B43" i="3"/>
  <c r="P42" i="3"/>
  <c r="O42" i="3"/>
  <c r="P39" i="8" s="1"/>
  <c r="D42" i="3"/>
  <c r="C39" i="8" s="1"/>
  <c r="D39" i="8" s="1"/>
  <c r="B42" i="3"/>
  <c r="P41" i="3"/>
  <c r="O41" i="3"/>
  <c r="P38" i="8" s="1"/>
  <c r="D41" i="3"/>
  <c r="C38" i="8" s="1"/>
  <c r="D38" i="8" s="1"/>
  <c r="B41" i="3"/>
  <c r="P40" i="3"/>
  <c r="O40" i="3"/>
  <c r="P37" i="8" s="1"/>
  <c r="D40" i="3"/>
  <c r="C37" i="8" s="1"/>
  <c r="D37" i="8" s="1"/>
  <c r="B40" i="3"/>
  <c r="P39" i="3"/>
  <c r="O39" i="3"/>
  <c r="P36" i="8" s="1"/>
  <c r="D39" i="3"/>
  <c r="C36" i="8" s="1"/>
  <c r="D36" i="8" s="1"/>
  <c r="B39" i="3"/>
  <c r="P38" i="3"/>
  <c r="O38" i="3"/>
  <c r="P35" i="8" s="1"/>
  <c r="D38" i="3"/>
  <c r="C35" i="8" s="1"/>
  <c r="D35" i="8" s="1"/>
  <c r="B38" i="3"/>
  <c r="P37" i="3"/>
  <c r="O37" i="3"/>
  <c r="P34" i="8" s="1"/>
  <c r="D37" i="3"/>
  <c r="C34" i="8" s="1"/>
  <c r="D34" i="8" s="1"/>
  <c r="B37" i="3"/>
  <c r="P36" i="3"/>
  <c r="O36" i="3"/>
  <c r="P33" i="8" s="1"/>
  <c r="D36" i="3"/>
  <c r="C33" i="8" s="1"/>
  <c r="D33" i="8" s="1"/>
  <c r="B36" i="3"/>
  <c r="P35" i="3"/>
  <c r="O35" i="3"/>
  <c r="P32" i="8" s="1"/>
  <c r="D35" i="3"/>
  <c r="C32" i="8" s="1"/>
  <c r="D32" i="8" s="1"/>
  <c r="B35" i="3"/>
  <c r="P34" i="3"/>
  <c r="O34" i="3"/>
  <c r="P31" i="8" s="1"/>
  <c r="D34" i="3"/>
  <c r="C31" i="8" s="1"/>
  <c r="D31" i="8" s="1"/>
  <c r="B34" i="3"/>
  <c r="P33" i="3"/>
  <c r="O33" i="3"/>
  <c r="P30" i="8" s="1"/>
  <c r="D33" i="3"/>
  <c r="C30" i="8" s="1"/>
  <c r="D30" i="8" s="1"/>
  <c r="B33" i="3"/>
  <c r="P32" i="3"/>
  <c r="O32" i="3"/>
  <c r="D32" i="3"/>
  <c r="C29" i="8" s="1"/>
  <c r="D29" i="8" s="1"/>
  <c r="B32" i="3"/>
  <c r="P31" i="3"/>
  <c r="O31" i="3"/>
  <c r="D31" i="3"/>
  <c r="C28" i="8" s="1"/>
  <c r="D28" i="8" s="1"/>
  <c r="B31" i="3"/>
  <c r="P30" i="3"/>
  <c r="O30" i="3"/>
  <c r="D30" i="3"/>
  <c r="C27" i="8" s="1"/>
  <c r="D27" i="8" s="1"/>
  <c r="B30" i="3"/>
  <c r="P29" i="3"/>
  <c r="O29" i="3"/>
  <c r="D29" i="3"/>
  <c r="C26" i="8" s="1"/>
  <c r="D26" i="8" s="1"/>
  <c r="B29" i="3"/>
  <c r="P28" i="3"/>
  <c r="O28" i="3"/>
  <c r="D28" i="3"/>
  <c r="C25" i="8" s="1"/>
  <c r="D25" i="8" s="1"/>
  <c r="B28" i="3"/>
  <c r="P27" i="3"/>
  <c r="O27" i="3"/>
  <c r="D27" i="3"/>
  <c r="C24" i="8" s="1"/>
  <c r="D24" i="8" s="1"/>
  <c r="B27" i="3"/>
  <c r="P26" i="3"/>
  <c r="O26" i="3"/>
  <c r="D26" i="3"/>
  <c r="C23" i="8" s="1"/>
  <c r="D23" i="8" s="1"/>
  <c r="B26" i="3"/>
  <c r="P25" i="3"/>
  <c r="O25" i="3"/>
  <c r="D25" i="3"/>
  <c r="C22" i="8" s="1"/>
  <c r="D22" i="8" s="1"/>
  <c r="B25" i="3"/>
  <c r="P24" i="3"/>
  <c r="O24" i="3"/>
  <c r="D24" i="3"/>
  <c r="C21" i="8" s="1"/>
  <c r="D21" i="8" s="1"/>
  <c r="B24" i="3"/>
  <c r="P23" i="3"/>
  <c r="O23" i="3"/>
  <c r="D23" i="3"/>
  <c r="C20" i="8" s="1"/>
  <c r="D20" i="8" s="1"/>
  <c r="B23" i="3"/>
  <c r="P22" i="3"/>
  <c r="O22" i="3"/>
  <c r="D22" i="3"/>
  <c r="C19" i="8" s="1"/>
  <c r="D19" i="8" s="1"/>
  <c r="B22" i="3"/>
  <c r="P21" i="3"/>
  <c r="O21" i="3"/>
  <c r="D21" i="3"/>
  <c r="C18" i="8" s="1"/>
  <c r="D18" i="8" s="1"/>
  <c r="B21" i="3"/>
  <c r="P20" i="3"/>
  <c r="O20" i="3"/>
  <c r="D20" i="3"/>
  <c r="C17" i="8" s="1"/>
  <c r="D17" i="8" s="1"/>
  <c r="B20" i="3"/>
  <c r="P19" i="3"/>
  <c r="O19" i="3"/>
  <c r="D19" i="3"/>
  <c r="C16" i="8" s="1"/>
  <c r="D16" i="8" s="1"/>
  <c r="B19" i="3"/>
  <c r="P18" i="3"/>
  <c r="O18" i="3"/>
  <c r="D18" i="3"/>
  <c r="C15" i="8" s="1"/>
  <c r="D15" i="8" s="1"/>
  <c r="B18" i="3"/>
  <c r="P17" i="3"/>
  <c r="O17" i="3"/>
  <c r="D17" i="3"/>
  <c r="C14" i="8" s="1"/>
  <c r="D14" i="8" s="1"/>
  <c r="B17" i="3"/>
  <c r="P16" i="3"/>
  <c r="O16" i="3"/>
  <c r="D16" i="3"/>
  <c r="C13" i="8" s="1"/>
  <c r="D13" i="8" s="1"/>
  <c r="B16" i="3"/>
  <c r="P15" i="3"/>
  <c r="O15" i="3"/>
  <c r="P12" i="8" s="1"/>
  <c r="D15" i="3"/>
  <c r="C12" i="8" s="1"/>
  <c r="D12" i="8" s="1"/>
  <c r="B15" i="3"/>
  <c r="P14" i="3"/>
  <c r="O14" i="3"/>
  <c r="P11" i="8" s="1"/>
  <c r="D14" i="3"/>
  <c r="C11" i="8" s="1"/>
  <c r="D11" i="8" s="1"/>
  <c r="B14" i="3"/>
  <c r="P13" i="3"/>
  <c r="O13" i="3"/>
  <c r="P10" i="8" s="1"/>
  <c r="D13" i="3"/>
  <c r="C10" i="8" s="1"/>
  <c r="D10" i="8" s="1"/>
  <c r="B13" i="3"/>
  <c r="P12" i="3"/>
  <c r="O12" i="3"/>
  <c r="P9" i="8" s="1"/>
  <c r="D12" i="3"/>
  <c r="C9" i="8" s="1"/>
  <c r="D9" i="8" s="1"/>
  <c r="B12" i="3"/>
  <c r="P11" i="3"/>
  <c r="O11" i="3"/>
  <c r="P8" i="8" s="1"/>
  <c r="D11" i="3"/>
  <c r="C8" i="8" s="1"/>
  <c r="D8" i="8" s="1"/>
  <c r="B11" i="3"/>
  <c r="P10" i="3"/>
  <c r="O10" i="3"/>
  <c r="P7" i="8" s="1"/>
  <c r="D10" i="3"/>
  <c r="C7" i="8" s="1"/>
  <c r="D7" i="8" s="1"/>
  <c r="B10" i="3"/>
  <c r="P9" i="3"/>
  <c r="O9" i="3"/>
  <c r="P6" i="8" s="1"/>
  <c r="D9" i="3"/>
  <c r="C6" i="8" s="1"/>
  <c r="D6" i="8" s="1"/>
  <c r="B9" i="3"/>
  <c r="P8" i="3"/>
  <c r="O8" i="3"/>
  <c r="P5" i="8" s="1"/>
  <c r="D8" i="3"/>
  <c r="C5" i="8" s="1"/>
  <c r="D5" i="8" s="1"/>
  <c r="B8" i="3"/>
  <c r="P7" i="3"/>
  <c r="O7" i="3"/>
  <c r="P4" i="8" s="1"/>
  <c r="D7" i="3"/>
  <c r="C4" i="8" s="1"/>
  <c r="D4" i="8" s="1"/>
  <c r="B7" i="3"/>
  <c r="P6" i="3"/>
  <c r="O6" i="3"/>
  <c r="P3" i="8" s="1"/>
  <c r="D6" i="3"/>
  <c r="C3" i="8" s="1"/>
  <c r="D3" i="8" s="1"/>
  <c r="B6" i="3"/>
  <c r="P5" i="3"/>
  <c r="O5" i="3"/>
  <c r="P2" i="8" s="1"/>
  <c r="D5" i="3"/>
  <c r="C2" i="8" s="1"/>
  <c r="D2" i="8" s="1"/>
  <c r="B5" i="3"/>
  <c r="AJ64" i="5"/>
  <c r="AI64" i="5"/>
  <c r="AH64" i="5"/>
  <c r="AG64" i="5"/>
  <c r="AK64" i="5" s="1"/>
  <c r="D64" i="5"/>
  <c r="C61" i="6" s="1"/>
  <c r="D61" i="6" s="1"/>
  <c r="B64" i="5"/>
  <c r="AJ63" i="5"/>
  <c r="AI63" i="5"/>
  <c r="AH63" i="5"/>
  <c r="AG63" i="5"/>
  <c r="AK63" i="5" s="1"/>
  <c r="D63" i="5"/>
  <c r="C60" i="6" s="1"/>
  <c r="D60" i="6" s="1"/>
  <c r="B63" i="5"/>
  <c r="AJ62" i="5"/>
  <c r="AI62" i="5"/>
  <c r="AH62" i="5"/>
  <c r="AG62" i="5"/>
  <c r="AK62" i="5" s="1"/>
  <c r="D62" i="5"/>
  <c r="C59" i="6" s="1"/>
  <c r="D59" i="6" s="1"/>
  <c r="B62" i="5"/>
  <c r="AJ61" i="5"/>
  <c r="AI61" i="5"/>
  <c r="AH61" i="5"/>
  <c r="AG61" i="5"/>
  <c r="AK61" i="5" s="1"/>
  <c r="D61" i="5"/>
  <c r="C58" i="6" s="1"/>
  <c r="D58" i="6" s="1"/>
  <c r="B61" i="5"/>
  <c r="AJ60" i="5"/>
  <c r="AI60" i="5"/>
  <c r="AH60" i="5"/>
  <c r="AG60" i="5"/>
  <c r="AK60" i="5" s="1"/>
  <c r="D60" i="5"/>
  <c r="C57" i="6" s="1"/>
  <c r="D57" i="6" s="1"/>
  <c r="B60" i="5"/>
  <c r="AJ59" i="5"/>
  <c r="AI59" i="5"/>
  <c r="AH59" i="5"/>
  <c r="AG59" i="5"/>
  <c r="AK59" i="5" s="1"/>
  <c r="D59" i="5"/>
  <c r="C56" i="6" s="1"/>
  <c r="D56" i="6" s="1"/>
  <c r="B59" i="5"/>
  <c r="AJ58" i="5"/>
  <c r="AI58" i="5"/>
  <c r="AH58" i="5"/>
  <c r="AG58" i="5"/>
  <c r="AK58" i="5" s="1"/>
  <c r="D58" i="5"/>
  <c r="C55" i="6" s="1"/>
  <c r="D55" i="6" s="1"/>
  <c r="B58" i="5"/>
  <c r="AJ57" i="5"/>
  <c r="AI57" i="5"/>
  <c r="AH57" i="5"/>
  <c r="AG57" i="5"/>
  <c r="AK57" i="5" s="1"/>
  <c r="D57" i="5"/>
  <c r="C54" i="6" s="1"/>
  <c r="D54" i="6" s="1"/>
  <c r="B57" i="5"/>
  <c r="AJ56" i="5"/>
  <c r="AI56" i="5"/>
  <c r="AH56" i="5"/>
  <c r="AG56" i="5"/>
  <c r="AK56" i="5" s="1"/>
  <c r="D56" i="5"/>
  <c r="C53" i="6" s="1"/>
  <c r="D53" i="6" s="1"/>
  <c r="B56" i="5"/>
  <c r="AJ55" i="5"/>
  <c r="AI55" i="5"/>
  <c r="AH55" i="5"/>
  <c r="AG55" i="5"/>
  <c r="AK55" i="5" s="1"/>
  <c r="D55" i="5"/>
  <c r="C52" i="6" s="1"/>
  <c r="D52" i="6" s="1"/>
  <c r="B55" i="5"/>
  <c r="AJ54" i="5"/>
  <c r="AI54" i="5"/>
  <c r="AH54" i="5"/>
  <c r="AG54" i="5"/>
  <c r="AK54" i="5" s="1"/>
  <c r="D54" i="5"/>
  <c r="C51" i="6" s="1"/>
  <c r="D51" i="6" s="1"/>
  <c r="B54" i="5"/>
  <c r="AJ53" i="5"/>
  <c r="AI53" i="5"/>
  <c r="AH53" i="5"/>
  <c r="AG53" i="5"/>
  <c r="AK53" i="5" s="1"/>
  <c r="D53" i="5"/>
  <c r="C50" i="6" s="1"/>
  <c r="D50" i="6" s="1"/>
  <c r="B53" i="5"/>
  <c r="AJ52" i="5"/>
  <c r="AI52" i="5"/>
  <c r="AH52" i="5"/>
  <c r="AG52" i="5"/>
  <c r="AK52" i="5" s="1"/>
  <c r="D52" i="5"/>
  <c r="C49" i="6" s="1"/>
  <c r="D49" i="6" s="1"/>
  <c r="B52" i="5"/>
  <c r="AJ51" i="5"/>
  <c r="AI51" i="5"/>
  <c r="AH51" i="5"/>
  <c r="AG51" i="5"/>
  <c r="AK51" i="5" s="1"/>
  <c r="D51" i="5"/>
  <c r="C48" i="6" s="1"/>
  <c r="D48" i="6" s="1"/>
  <c r="B51" i="5"/>
  <c r="AJ50" i="5"/>
  <c r="AI50" i="5"/>
  <c r="AH50" i="5"/>
  <c r="AG50" i="5"/>
  <c r="AK50" i="5" s="1"/>
  <c r="D50" i="5"/>
  <c r="C47" i="6" s="1"/>
  <c r="D47" i="6" s="1"/>
  <c r="B50" i="5"/>
  <c r="AJ49" i="5"/>
  <c r="AI49" i="5"/>
  <c r="AH49" i="5"/>
  <c r="AG49" i="5"/>
  <c r="AK49" i="5" s="1"/>
  <c r="D49" i="5"/>
  <c r="C46" i="6" s="1"/>
  <c r="D46" i="6" s="1"/>
  <c r="B49" i="5"/>
  <c r="AJ48" i="5"/>
  <c r="AI48" i="5"/>
  <c r="AH48" i="5"/>
  <c r="AG48" i="5"/>
  <c r="AK48" i="5" s="1"/>
  <c r="D48" i="5"/>
  <c r="C45" i="6" s="1"/>
  <c r="D45" i="6" s="1"/>
  <c r="B48" i="5"/>
  <c r="AJ47" i="5"/>
  <c r="AI47" i="5"/>
  <c r="AH47" i="5"/>
  <c r="AG47" i="5"/>
  <c r="AK47" i="5" s="1"/>
  <c r="D47" i="5"/>
  <c r="C44" i="6" s="1"/>
  <c r="D44" i="6" s="1"/>
  <c r="B47" i="5"/>
  <c r="AJ46" i="5"/>
  <c r="AI46" i="5"/>
  <c r="AH46" i="5"/>
  <c r="AG46" i="5"/>
  <c r="AK46" i="5" s="1"/>
  <c r="D46" i="5"/>
  <c r="C43" i="6" s="1"/>
  <c r="D43" i="6" s="1"/>
  <c r="B46" i="5"/>
  <c r="AJ45" i="5"/>
  <c r="AI45" i="5"/>
  <c r="AH45" i="5"/>
  <c r="AG45" i="5"/>
  <c r="AK45" i="5" s="1"/>
  <c r="D45" i="5"/>
  <c r="C42" i="6" s="1"/>
  <c r="D42" i="6" s="1"/>
  <c r="B45" i="5"/>
  <c r="AJ44" i="5"/>
  <c r="AI44" i="5"/>
  <c r="AH44" i="5"/>
  <c r="AG44" i="5"/>
  <c r="AK44" i="5" s="1"/>
  <c r="D44" i="5"/>
  <c r="C41" i="6" s="1"/>
  <c r="D41" i="6" s="1"/>
  <c r="B44" i="5"/>
  <c r="AJ43" i="5"/>
  <c r="AI43" i="5"/>
  <c r="AH43" i="5"/>
  <c r="AG43" i="5"/>
  <c r="AK43" i="5" s="1"/>
  <c r="D43" i="5"/>
  <c r="C40" i="6" s="1"/>
  <c r="D40" i="6" s="1"/>
  <c r="B43" i="5"/>
  <c r="AJ42" i="5"/>
  <c r="AI42" i="5"/>
  <c r="AH42" i="5"/>
  <c r="AG42" i="5"/>
  <c r="AK42" i="5" s="1"/>
  <c r="D42" i="5"/>
  <c r="C39" i="6" s="1"/>
  <c r="D39" i="6" s="1"/>
  <c r="B42" i="5"/>
  <c r="AJ41" i="5"/>
  <c r="AI41" i="5"/>
  <c r="AH41" i="5"/>
  <c r="AG41" i="5"/>
  <c r="AK41" i="5" s="1"/>
  <c r="D41" i="5"/>
  <c r="C38" i="6" s="1"/>
  <c r="D38" i="6" s="1"/>
  <c r="B41" i="5"/>
  <c r="AJ40" i="5"/>
  <c r="AI40" i="5"/>
  <c r="AH40" i="5"/>
  <c r="AG40" i="5"/>
  <c r="AK40" i="5" s="1"/>
  <c r="D40" i="5"/>
  <c r="C37" i="6" s="1"/>
  <c r="D37" i="6" s="1"/>
  <c r="B40" i="5"/>
  <c r="AJ39" i="5"/>
  <c r="AI39" i="5"/>
  <c r="AH39" i="5"/>
  <c r="AG39" i="5"/>
  <c r="AK39" i="5" s="1"/>
  <c r="D39" i="5"/>
  <c r="C36" i="6" s="1"/>
  <c r="D36" i="6" s="1"/>
  <c r="B39" i="5"/>
  <c r="AJ38" i="5"/>
  <c r="AI38" i="5"/>
  <c r="AH38" i="5"/>
  <c r="AG38" i="5"/>
  <c r="AK38" i="5" s="1"/>
  <c r="D38" i="5"/>
  <c r="C35" i="6" s="1"/>
  <c r="D35" i="6" s="1"/>
  <c r="B38" i="5"/>
  <c r="AJ37" i="5"/>
  <c r="AI37" i="5"/>
  <c r="AH37" i="5"/>
  <c r="AG37" i="5"/>
  <c r="AK37" i="5" s="1"/>
  <c r="D37" i="5"/>
  <c r="C34" i="6" s="1"/>
  <c r="D34" i="6" s="1"/>
  <c r="B37" i="5"/>
  <c r="AJ36" i="5"/>
  <c r="AI36" i="5"/>
  <c r="AH36" i="5"/>
  <c r="AG36" i="5"/>
  <c r="AK36" i="5" s="1"/>
  <c r="D36" i="5"/>
  <c r="C33" i="6" s="1"/>
  <c r="D33" i="6" s="1"/>
  <c r="B36" i="5"/>
  <c r="AJ35" i="5"/>
  <c r="AI35" i="5"/>
  <c r="AH35" i="5"/>
  <c r="AG35" i="5"/>
  <c r="AK35" i="5" s="1"/>
  <c r="D35" i="5"/>
  <c r="C32" i="6" s="1"/>
  <c r="D32" i="6" s="1"/>
  <c r="B35" i="5"/>
  <c r="AJ34" i="5"/>
  <c r="AI34" i="5"/>
  <c r="AH34" i="5"/>
  <c r="AG34" i="5"/>
  <c r="D34" i="5"/>
  <c r="C31" i="6" s="1"/>
  <c r="D31" i="6" s="1"/>
  <c r="B34" i="5"/>
  <c r="AJ33" i="5"/>
  <c r="AI33" i="5"/>
  <c r="AH33" i="5"/>
  <c r="AG33" i="5"/>
  <c r="AK33" i="5" s="1"/>
  <c r="D33" i="5"/>
  <c r="C30" i="6" s="1"/>
  <c r="D30" i="6" s="1"/>
  <c r="B33" i="5"/>
  <c r="AJ32" i="5"/>
  <c r="AI32" i="5"/>
  <c r="AH32" i="5"/>
  <c r="AG32" i="5"/>
  <c r="AK32" i="5" s="1"/>
  <c r="D32" i="5"/>
  <c r="C29" i="6" s="1"/>
  <c r="D29" i="6" s="1"/>
  <c r="B32" i="5"/>
  <c r="AJ31" i="5"/>
  <c r="AI31" i="5"/>
  <c r="AH31" i="5"/>
  <c r="AG31" i="5"/>
  <c r="AK31" i="5" s="1"/>
  <c r="D31" i="5"/>
  <c r="C28" i="6" s="1"/>
  <c r="D28" i="6" s="1"/>
  <c r="B31" i="5"/>
  <c r="AJ30" i="5"/>
  <c r="AI30" i="5"/>
  <c r="AH30" i="5"/>
  <c r="AG30" i="5"/>
  <c r="AK30" i="5" s="1"/>
  <c r="D30" i="5"/>
  <c r="C27" i="6" s="1"/>
  <c r="D27" i="6" s="1"/>
  <c r="B30" i="5"/>
  <c r="AJ29" i="5"/>
  <c r="AI29" i="5"/>
  <c r="AH29" i="5"/>
  <c r="AG29" i="5"/>
  <c r="AK29" i="5" s="1"/>
  <c r="D29" i="5"/>
  <c r="C26" i="6" s="1"/>
  <c r="D26" i="6" s="1"/>
  <c r="B29" i="5"/>
  <c r="AJ28" i="5"/>
  <c r="AI28" i="5"/>
  <c r="AH28" i="5"/>
  <c r="AG28" i="5"/>
  <c r="AK28" i="5" s="1"/>
  <c r="D28" i="5"/>
  <c r="C25" i="6" s="1"/>
  <c r="D25" i="6" s="1"/>
  <c r="B28" i="5"/>
  <c r="AJ27" i="5"/>
  <c r="AI27" i="5"/>
  <c r="AH27" i="5"/>
  <c r="AG27" i="5"/>
  <c r="AK27" i="5" s="1"/>
  <c r="D27" i="5"/>
  <c r="C24" i="6" s="1"/>
  <c r="D24" i="6" s="1"/>
  <c r="B27" i="5"/>
  <c r="AJ26" i="5"/>
  <c r="AI26" i="5"/>
  <c r="AH26" i="5"/>
  <c r="AG26" i="5"/>
  <c r="AK26" i="5" s="1"/>
  <c r="D26" i="5"/>
  <c r="C23" i="6" s="1"/>
  <c r="D23" i="6" s="1"/>
  <c r="B26" i="5"/>
  <c r="AJ25" i="5"/>
  <c r="AI25" i="5"/>
  <c r="AH25" i="5"/>
  <c r="AG25" i="5"/>
  <c r="AK25" i="5" s="1"/>
  <c r="D25" i="5"/>
  <c r="C22" i="6" s="1"/>
  <c r="D22" i="6" s="1"/>
  <c r="B25" i="5"/>
  <c r="AJ24" i="5"/>
  <c r="AI24" i="5"/>
  <c r="AH24" i="5"/>
  <c r="AG24" i="5"/>
  <c r="AK24" i="5" s="1"/>
  <c r="D24" i="5"/>
  <c r="C21" i="6" s="1"/>
  <c r="D21" i="6" s="1"/>
  <c r="B24" i="5"/>
  <c r="AJ23" i="5"/>
  <c r="AI23" i="5"/>
  <c r="AH23" i="5"/>
  <c r="AG23" i="5"/>
  <c r="AK23" i="5" s="1"/>
  <c r="D23" i="5"/>
  <c r="C20" i="6" s="1"/>
  <c r="D20" i="6" s="1"/>
  <c r="B23" i="5"/>
  <c r="AJ22" i="5"/>
  <c r="AI22" i="5"/>
  <c r="AH22" i="5"/>
  <c r="AG22" i="5"/>
  <c r="AK22" i="5" s="1"/>
  <c r="D22" i="5"/>
  <c r="C19" i="6" s="1"/>
  <c r="D19" i="6" s="1"/>
  <c r="B22" i="5"/>
  <c r="AJ21" i="5"/>
  <c r="AI21" i="5"/>
  <c r="AH21" i="5"/>
  <c r="AG21" i="5"/>
  <c r="AK21" i="5" s="1"/>
  <c r="D21" i="5"/>
  <c r="C18" i="6" s="1"/>
  <c r="D18" i="6" s="1"/>
  <c r="B21" i="5"/>
  <c r="AJ20" i="5"/>
  <c r="AI20" i="5"/>
  <c r="AH20" i="5"/>
  <c r="AG20" i="5"/>
  <c r="AK20" i="5" s="1"/>
  <c r="D20" i="5"/>
  <c r="C17" i="6" s="1"/>
  <c r="D17" i="6" s="1"/>
  <c r="B20" i="5"/>
  <c r="AJ19" i="5"/>
  <c r="AI19" i="5"/>
  <c r="AH19" i="5"/>
  <c r="AG19" i="5"/>
  <c r="AK19" i="5" s="1"/>
  <c r="D19" i="5"/>
  <c r="C16" i="6" s="1"/>
  <c r="D16" i="6" s="1"/>
  <c r="B19" i="5"/>
  <c r="AJ18" i="5"/>
  <c r="AI18" i="5"/>
  <c r="AH18" i="5"/>
  <c r="AG18" i="5"/>
  <c r="AK18" i="5" s="1"/>
  <c r="D18" i="5"/>
  <c r="C15" i="6" s="1"/>
  <c r="D15" i="6" s="1"/>
  <c r="B18" i="5"/>
  <c r="AJ17" i="5"/>
  <c r="AI17" i="5"/>
  <c r="AH17" i="5"/>
  <c r="AG17" i="5"/>
  <c r="AK17" i="5" s="1"/>
  <c r="D17" i="5"/>
  <c r="C14" i="6" s="1"/>
  <c r="D14" i="6" s="1"/>
  <c r="B17" i="5"/>
  <c r="AJ16" i="5"/>
  <c r="AI16" i="5"/>
  <c r="AH16" i="5"/>
  <c r="AG16" i="5"/>
  <c r="AK16" i="5" s="1"/>
  <c r="D16" i="5"/>
  <c r="C13" i="6" s="1"/>
  <c r="D13" i="6" s="1"/>
  <c r="B16" i="5"/>
  <c r="AJ15" i="5"/>
  <c r="AI15" i="5"/>
  <c r="AH15" i="5"/>
  <c r="AG15" i="5"/>
  <c r="AK15" i="5" s="1"/>
  <c r="D15" i="5"/>
  <c r="C12" i="6" s="1"/>
  <c r="D12" i="6" s="1"/>
  <c r="B15" i="5"/>
  <c r="AJ14" i="5"/>
  <c r="AI14" i="5"/>
  <c r="AH14" i="5"/>
  <c r="AG14" i="5"/>
  <c r="AK14" i="5" s="1"/>
  <c r="D14" i="5"/>
  <c r="C11" i="6" s="1"/>
  <c r="D11" i="6" s="1"/>
  <c r="B14" i="5"/>
  <c r="AJ13" i="5"/>
  <c r="AI13" i="5"/>
  <c r="AH13" i="5"/>
  <c r="AG13" i="5"/>
  <c r="AK13" i="5" s="1"/>
  <c r="D13" i="5"/>
  <c r="C10" i="6" s="1"/>
  <c r="D10" i="6" s="1"/>
  <c r="B13" i="5"/>
  <c r="AJ12" i="5"/>
  <c r="AI12" i="5"/>
  <c r="AH12" i="5"/>
  <c r="AG12" i="5"/>
  <c r="AK12" i="5" s="1"/>
  <c r="D12" i="5"/>
  <c r="C9" i="6" s="1"/>
  <c r="D9" i="6" s="1"/>
  <c r="B12" i="5"/>
  <c r="AJ11" i="5"/>
  <c r="AI11" i="5"/>
  <c r="AH11" i="5"/>
  <c r="AG11" i="5"/>
  <c r="AK11" i="5" s="1"/>
  <c r="D11" i="5"/>
  <c r="C8" i="6" s="1"/>
  <c r="D8" i="6" s="1"/>
  <c r="B11" i="5"/>
  <c r="AJ10" i="5"/>
  <c r="AI10" i="5"/>
  <c r="AH10" i="5"/>
  <c r="AG10" i="5"/>
  <c r="AK10" i="5" s="1"/>
  <c r="D10" i="5"/>
  <c r="C7" i="6" s="1"/>
  <c r="D7" i="6" s="1"/>
  <c r="B10" i="5"/>
  <c r="AJ9" i="5"/>
  <c r="AI9" i="5"/>
  <c r="AH9" i="5"/>
  <c r="AG9" i="5"/>
  <c r="AK9" i="5" s="1"/>
  <c r="D9" i="5"/>
  <c r="C6" i="6" s="1"/>
  <c r="D6" i="6" s="1"/>
  <c r="B9" i="5"/>
  <c r="AJ8" i="5"/>
  <c r="AI8" i="5"/>
  <c r="AH8" i="5"/>
  <c r="AG8" i="5"/>
  <c r="AK8" i="5" s="1"/>
  <c r="D8" i="5"/>
  <c r="C5" i="6" s="1"/>
  <c r="D5" i="6" s="1"/>
  <c r="B8" i="5"/>
  <c r="AJ7" i="5"/>
  <c r="AI7" i="5"/>
  <c r="AH7" i="5"/>
  <c r="AG7" i="5"/>
  <c r="AK7" i="5" s="1"/>
  <c r="D7" i="5"/>
  <c r="C4" i="6" s="1"/>
  <c r="D4" i="6" s="1"/>
  <c r="B7" i="5"/>
  <c r="AJ6" i="5"/>
  <c r="AI6" i="5"/>
  <c r="AH6" i="5"/>
  <c r="AG6" i="5"/>
  <c r="AK6" i="5" s="1"/>
  <c r="D6" i="5"/>
  <c r="C3" i="6" s="1"/>
  <c r="D3" i="6" s="1"/>
  <c r="B6" i="5"/>
  <c r="AJ5" i="5"/>
  <c r="AI5" i="5"/>
  <c r="AH5" i="5"/>
  <c r="AG5" i="5"/>
  <c r="AK5" i="5" s="1"/>
  <c r="D5" i="5"/>
  <c r="C2" i="6" s="1"/>
  <c r="B5" i="5"/>
  <c r="AK34" i="5" l="1"/>
  <c r="D2" i="6"/>
  <c r="D5" i="9"/>
  <c r="E8" i="9"/>
  <c r="E9" i="9"/>
  <c r="E11" i="9"/>
  <c r="D19" i="9"/>
  <c r="D25" i="9"/>
  <c r="D7" i="9"/>
  <c r="D11" i="9"/>
  <c r="D13" i="9"/>
  <c r="E15" i="9"/>
  <c r="E17" i="9"/>
  <c r="D20" i="9"/>
  <c r="E30" i="9"/>
  <c r="D6" i="9"/>
  <c r="D12" i="9"/>
  <c r="E14" i="9"/>
  <c r="D17" i="9"/>
  <c r="E33" i="9"/>
  <c r="D32" i="9"/>
  <c r="E32" i="9"/>
  <c r="E10" i="9"/>
  <c r="E16" i="9"/>
  <c r="E18" i="9"/>
  <c r="E19" i="9"/>
  <c r="E21" i="9"/>
  <c r="E22" i="9"/>
  <c r="E23" i="9"/>
  <c r="E24" i="9"/>
  <c r="E25" i="9"/>
  <c r="E26" i="9"/>
  <c r="E27" i="9"/>
  <c r="E28" i="9"/>
  <c r="D29" i="9"/>
  <c r="E29" i="9"/>
  <c r="D30" i="9"/>
  <c r="D33" i="9"/>
  <c r="E5" i="9"/>
  <c r="D8" i="9"/>
  <c r="E12" i="9"/>
  <c r="D15" i="9"/>
  <c r="E20" i="9"/>
  <c r="D24" i="9"/>
  <c r="D27" i="9"/>
  <c r="E31" i="9"/>
  <c r="E6" i="9"/>
  <c r="D10" i="9"/>
  <c r="D14" i="9"/>
  <c r="D18" i="9"/>
  <c r="D21" i="9"/>
  <c r="D23" i="9"/>
  <c r="D26" i="9"/>
  <c r="D31" i="9"/>
  <c r="E7" i="9"/>
  <c r="D9" i="9"/>
  <c r="E13" i="9"/>
  <c r="D16" i="9"/>
  <c r="D22" i="9"/>
  <c r="D28" i="9"/>
  <c r="F11" i="9" l="1"/>
  <c r="F14" i="9"/>
  <c r="F15" i="9"/>
  <c r="F16" i="9"/>
  <c r="F19" i="9"/>
  <c r="F17" i="9"/>
  <c r="F30" i="9"/>
  <c r="F6" i="9"/>
  <c r="F8" i="9"/>
  <c r="F9" i="9"/>
  <c r="F12" i="9"/>
  <c r="F33" i="9"/>
  <c r="F32" i="9"/>
  <c r="F13" i="9"/>
  <c r="F21" i="9"/>
  <c r="F22" i="9"/>
  <c r="F23" i="9"/>
  <c r="F24" i="9"/>
  <c r="F25" i="9"/>
  <c r="F26" i="9"/>
  <c r="F27" i="9"/>
  <c r="F28" i="9"/>
  <c r="F29" i="9"/>
  <c r="F10" i="9"/>
  <c r="F20" i="9"/>
  <c r="F31" i="9"/>
  <c r="F7" i="9"/>
  <c r="F18" i="9"/>
  <c r="G20" i="9"/>
  <c r="G21" i="9"/>
  <c r="G31" i="9"/>
  <c r="G6" i="9"/>
  <c r="G18" i="9"/>
  <c r="G26" i="9"/>
  <c r="G13" i="9"/>
  <c r="G16" i="9"/>
  <c r="G17" i="9"/>
  <c r="G12" i="9"/>
  <c r="G11" i="9"/>
  <c r="G15" i="9"/>
  <c r="G30" i="9"/>
  <c r="G9" i="9"/>
  <c r="G14" i="9"/>
  <c r="G33" i="9"/>
  <c r="G32" i="9"/>
  <c r="G7" i="9"/>
  <c r="G8" i="9"/>
  <c r="G10" i="9"/>
  <c r="G19" i="9"/>
  <c r="G22" i="9"/>
  <c r="G23" i="9"/>
  <c r="G24" i="9"/>
  <c r="G25" i="9"/>
  <c r="G27" i="9"/>
  <c r="G28" i="9"/>
  <c r="G2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O3" authorId="0" shapeId="0" xr:uid="{00000000-0006-0000-0200-000001000000}">
      <text>
        <r>
          <rPr>
            <sz val="10"/>
            <rFont val="Arial"/>
            <family val="2"/>
          </rPr>
          <t>Rumus SCA-104: 0,65625 × jumlah 8 skor + 52,75 − 2×non-uniform − 4×defective</t>
        </r>
      </text>
    </comment>
  </commentList>
</comments>
</file>

<file path=xl/sharedStrings.xml><?xml version="1.0" encoding="utf-8"?>
<sst xmlns="http://schemas.openxmlformats.org/spreadsheetml/2006/main" count="489" uniqueCount="172">
  <si>
    <t>Setup Sesi Cupping</t>
  </si>
  <si>
    <t>Isi sel kuning. Kode sampel dipakai otomatis di semua sheet.</t>
  </si>
  <si>
    <t>Sampel</t>
  </si>
  <si>
    <t>Kode (3 digit)</t>
  </si>
  <si>
    <t>Nama / keterangan kopi</t>
  </si>
  <si>
    <t>Sampel 1</t>
  </si>
  <si>
    <t>527</t>
  </si>
  <si>
    <t>← contoh kode; ganti sesuai label cup</t>
  </si>
  <si>
    <t>Sampel 2</t>
  </si>
  <si>
    <t>381</t>
  </si>
  <si>
    <t>Nama sesi / kelas</t>
  </si>
  <si>
    <t>ID Panelis</t>
  </si>
  <si>
    <t>Nama Mahasiswa</t>
  </si>
  <si>
    <t>P01</t>
  </si>
  <si>
    <t>Ayu</t>
  </si>
  <si>
    <t>P02</t>
  </si>
  <si>
    <t>Bima</t>
  </si>
  <si>
    <t>P03</t>
  </si>
  <si>
    <t>Citra</t>
  </si>
  <si>
    <t>P04</t>
  </si>
  <si>
    <t>Dewi</t>
  </si>
  <si>
    <t>P05</t>
  </si>
  <si>
    <t>Eka</t>
  </si>
  <si>
    <t>P06</t>
  </si>
  <si>
    <t>Fajar</t>
  </si>
  <si>
    <t>P07</t>
  </si>
  <si>
    <t>Gita</t>
  </si>
  <si>
    <t>P08</t>
  </si>
  <si>
    <t>Hana</t>
  </si>
  <si>
    <t>P09</t>
  </si>
  <si>
    <t>Indra</t>
  </si>
  <si>
    <t>P10</t>
  </si>
  <si>
    <t>Joko</t>
  </si>
  <si>
    <t>P11</t>
  </si>
  <si>
    <t>Kirana</t>
  </si>
  <si>
    <t>P12</t>
  </si>
  <si>
    <t>Lutfi</t>
  </si>
  <si>
    <t>P13</t>
  </si>
  <si>
    <t>Maya</t>
  </si>
  <si>
    <t>P14</t>
  </si>
  <si>
    <t>Nanda</t>
  </si>
  <si>
    <t>P15</t>
  </si>
  <si>
    <t>Oki</t>
  </si>
  <si>
    <t>P16</t>
  </si>
  <si>
    <t>Putri</t>
  </si>
  <si>
    <t>P17</t>
  </si>
  <si>
    <t>Raka</t>
  </si>
  <si>
    <t>P18</t>
  </si>
  <si>
    <t>Sari</t>
  </si>
  <si>
    <t>P19</t>
  </si>
  <si>
    <t>Tio</t>
  </si>
  <si>
    <t>P20</t>
  </si>
  <si>
    <t>Umi</t>
  </si>
  <si>
    <t>P21</t>
  </si>
  <si>
    <t>Vina</t>
  </si>
  <si>
    <t>P22</t>
  </si>
  <si>
    <t>Wahyu</t>
  </si>
  <si>
    <t>P23</t>
  </si>
  <si>
    <t>Yoga</t>
  </si>
  <si>
    <t>P24</t>
  </si>
  <si>
    <t>Zahra</t>
  </si>
  <si>
    <t>P25</t>
  </si>
  <si>
    <t>Arif</t>
  </si>
  <si>
    <t>P26</t>
  </si>
  <si>
    <t>Bella</t>
  </si>
  <si>
    <t>P27</t>
  </si>
  <si>
    <t>Dimas</t>
  </si>
  <si>
    <t>P28</t>
  </si>
  <si>
    <t>Fitri</t>
  </si>
  <si>
    <t>P29</t>
  </si>
  <si>
    <t>Gilang</t>
  </si>
  <si>
    <t>P30</t>
  </si>
  <si>
    <t>Intan</t>
  </si>
  <si>
    <t>Affective Assessment (SCA-104)</t>
  </si>
  <si>
    <t>Skor impresi kualitas 1–9. Cup non-uniform &amp; defective: jumlah cup (0–5), kosong = 0.</t>
  </si>
  <si>
    <t>Nama</t>
  </si>
  <si>
    <t>Urutan</t>
  </si>
  <si>
    <t>Kode Sampel</t>
  </si>
  <si>
    <t>Skor hedonik (1–9)</t>
  </si>
  <si>
    <t>Cup (0–5)</t>
  </si>
  <si>
    <t>Skor CVA</t>
  </si>
  <si>
    <t>Status</t>
  </si>
  <si>
    <t>Fragrance</t>
  </si>
  <si>
    <t>Aroma</t>
  </si>
  <si>
    <t>Flavor</t>
  </si>
  <si>
    <t>Aftertaste</t>
  </si>
  <si>
    <t>Acidity</t>
  </si>
  <si>
    <t>Sweetness</t>
  </si>
  <si>
    <t>Mouthfeel</t>
  </si>
  <si>
    <t>Overall</t>
  </si>
  <si>
    <t>Non-uniform</t>
  </si>
  <si>
    <t>Defective</t>
  </si>
  <si>
    <t>Descriptive Assessment — Intensitas (SCA-103)</t>
  </si>
  <si>
    <t>Intensitas 0–15 (0 = tidak terasa, 15 = sangat kuat). Pilihan CATA diisi di sheet 'CATA'.</t>
  </si>
  <si>
    <t>Intensitas (0–15)</t>
  </si>
  <si>
    <t>Descriptive Assessment — CATA (SCA-103)</t>
  </si>
  <si>
    <t>Ketik 1 pada descriptor yang dipilih; biarkan kosong jika tidak. Perhatikan batas jumlah pilihan tiap bagian.</t>
  </si>
  <si>
    <t>Fragrance / Aroma — pilih maks. 5</t>
  </si>
  <si>
    <t>Flavor / Aftertaste — pilih maks. 5</t>
  </si>
  <si>
    <t>Main tastes — pilih maks. 2</t>
  </si>
  <si>
    <t>Mouthfeel — pilih maks. 2</t>
  </si>
  <si>
    <t>n FA
(maks 5)</t>
  </si>
  <si>
    <t>n FL
(maks 5)</t>
  </si>
  <si>
    <t>n Taste
(maks 2)</t>
  </si>
  <si>
    <t>n MF
(maks 2)</t>
  </si>
  <si>
    <t>Floral</t>
  </si>
  <si>
    <t>Fruity</t>
  </si>
  <si>
    <t>Sour/Fermented</t>
  </si>
  <si>
    <t>Green/Vegetative</t>
  </si>
  <si>
    <t>Other</t>
  </si>
  <si>
    <t>Roasted</t>
  </si>
  <si>
    <t>Nutty/Cocoa</t>
  </si>
  <si>
    <t>Spicy</t>
  </si>
  <si>
    <t>Sweet</t>
  </si>
  <si>
    <t>Salty</t>
  </si>
  <si>
    <t>Sour</t>
  </si>
  <si>
    <t>Bitter</t>
  </si>
  <si>
    <t>Umami</t>
  </si>
  <si>
    <t>Rough</t>
  </si>
  <si>
    <t>Oily</t>
  </si>
  <si>
    <t>Smooth</t>
  </si>
  <si>
    <t>Mouth-drying</t>
  </si>
  <si>
    <t>Metallic</t>
  </si>
  <si>
    <t>Panelis</t>
  </si>
  <si>
    <t>Kopi</t>
  </si>
  <si>
    <t>Terisi</t>
  </si>
  <si>
    <t>FA_Floral</t>
  </si>
  <si>
    <t>FA_Fruity</t>
  </si>
  <si>
    <t>FA_SourFermented</t>
  </si>
  <si>
    <t>FA_GreenVegetative</t>
  </si>
  <si>
    <t>FA_Other</t>
  </si>
  <si>
    <t>FA_Roasted</t>
  </si>
  <si>
    <t>FA_NuttyCocoa</t>
  </si>
  <si>
    <t>FA_Spicy</t>
  </si>
  <si>
    <t>FA_Sweet</t>
  </si>
  <si>
    <t>FL_Floral</t>
  </si>
  <si>
    <t>FL_Fruity</t>
  </si>
  <si>
    <t>FL_SourFermented</t>
  </si>
  <si>
    <t>FL_GreenVegetative</t>
  </si>
  <si>
    <t>FL_Other</t>
  </si>
  <si>
    <t>FL_Roasted</t>
  </si>
  <si>
    <t>FL_NuttyCocoa</t>
  </si>
  <si>
    <t>FL_Spicy</t>
  </si>
  <si>
    <t>FL_Sweet</t>
  </si>
  <si>
    <t>TS_Salty</t>
  </si>
  <si>
    <t>TS_Sour</t>
  </si>
  <si>
    <t>TS_Sweet</t>
  </si>
  <si>
    <t>TS_Bitter</t>
  </si>
  <si>
    <t>TS_Umami</t>
  </si>
  <si>
    <t>MF_Rough</t>
  </si>
  <si>
    <t>MF_Oily</t>
  </si>
  <si>
    <t>MF_Smooth</t>
  </si>
  <si>
    <t>MF_Mouthdrying</t>
  </si>
  <si>
    <t>MF_Metallic</t>
  </si>
  <si>
    <t>NonUniform</t>
  </si>
  <si>
    <t>Skor_CVA</t>
  </si>
  <si>
    <t>Frekuensi sitasi CATA per sampel (otomatis)</t>
  </si>
  <si>
    <t>Hanya baris dengan Terisi = 1 yang dihitung. Persentase = jumlah sitasi / jumlah panelis yang mengisi sampel tsb.</t>
  </si>
  <si>
    <t>Bagian</t>
  </si>
  <si>
    <t>Descriptor</t>
  </si>
  <si>
    <t>Kode R</t>
  </si>
  <si>
    <t>n Sampel 1</t>
  </si>
  <si>
    <t>n Sampel 2</t>
  </si>
  <si>
    <t>% Sampel 1</t>
  </si>
  <si>
    <t>% Sampel 2</t>
  </si>
  <si>
    <t>Jumlah panelis</t>
  </si>
  <si>
    <t>Fragrance / Aroma</t>
  </si>
  <si>
    <t>Flavor / Aftertaste</t>
  </si>
  <si>
    <t>Main tastes</t>
  </si>
  <si>
    <t>Ethiopia natural (light roast)</t>
  </si>
  <si>
    <t>Robusta Temanggung (dark roast)</t>
  </si>
  <si>
    <t>CONTOH DATA SIMULASI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</si>
</sst>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0"/>
      <name val="Arial"/>
      <family val="2"/>
      <charset val="1"/>
    </font>
    <font>
      <b/>
      <sz val="13"/>
      <name val="Arial"/>
      <family val="2"/>
      <charset val="1"/>
    </font>
    <font>
      <i/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sz val="10"/>
      <color rgb="FF0000FF"/>
      <name val="Arial"/>
      <family val="2"/>
      <charset val="1"/>
    </font>
    <font>
      <i/>
      <sz val="10"/>
      <color rgb="FF808080"/>
      <name val="Arial"/>
      <family val="2"/>
      <charset val="1"/>
    </font>
    <font>
      <b/>
      <sz val="10"/>
      <color rgb="FF00000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EFEFEF"/>
      </patternFill>
    </fill>
    <fill>
      <patternFill patternType="solid">
        <fgColor rgb="FFEFEFEF"/>
        <bgColor rgb="FFF9F9F9"/>
      </patternFill>
    </fill>
    <fill>
      <patternFill patternType="solid">
        <fgColor rgb="FF4E342E"/>
        <bgColor rgb="FF333300"/>
      </patternFill>
    </fill>
    <fill>
      <patternFill patternType="solid">
        <fgColor rgb="FFD7CCC8"/>
        <bgColor rgb="FFE6D5C3"/>
      </patternFill>
    </fill>
    <fill>
      <patternFill patternType="solid">
        <fgColor rgb="FFE6D5C3"/>
        <bgColor rgb="FFD9D9D9"/>
      </patternFill>
    </fill>
    <fill>
      <patternFill patternType="solid">
        <fgColor rgb="FFDCE6F1"/>
        <bgColor rgb="FFEDE1F0"/>
      </patternFill>
    </fill>
    <fill>
      <patternFill patternType="solid">
        <fgColor rgb="FFEDE1F0"/>
        <bgColor rgb="FFDCE6F1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0" applyFont="1"/>
    <xf numFmtId="0" fontId="7" fillId="2" borderId="0" xfId="0" applyFont="1" applyFill="1"/>
    <xf numFmtId="0" fontId="9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5" fillId="4" borderId="0" xfId="0" applyFont="1" applyFill="1"/>
    <xf numFmtId="2" fontId="2" fillId="0" borderId="0" xfId="0" applyNumberFormat="1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" fillId="0" borderId="1" xfId="0" applyFont="1" applyBorder="1"/>
    <xf numFmtId="9" fontId="2" fillId="0" borderId="1" xfId="0" applyNumberFormat="1" applyFont="1" applyBorder="1"/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C6EFCE"/>
      <rgbColor rgb="FFF9F9F9"/>
      <rgbColor rgb="FFD7CCC8"/>
      <rgbColor rgb="FFE6D5C3"/>
      <rgbColor rgb="FFEDE1F0"/>
      <rgbColor rgb="FFFFC7CE"/>
      <rgbColor rgb="FF3366FF"/>
      <rgbColor rgb="FF33CCCC"/>
      <rgbColor rgb="FF99CC00"/>
      <rgbColor rgb="FFFFCC00"/>
      <rgbColor rgb="FFF2A541"/>
      <rgbColor rgb="FFFF6600"/>
      <rgbColor rgb="FF8D6E63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4E34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D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Fragrance/Aroma — % sitasi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Sampel 1</c:v>
          </c:tx>
          <c:spPr>
            <a:solidFill>
              <a:srgbClr val="8D6E6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Frekuensi!$B$6:$B$14</c:f>
              <c:strCache>
                <c:ptCount val="9"/>
                <c:pt idx="0">
                  <c:v>Floral</c:v>
                </c:pt>
                <c:pt idx="1">
                  <c:v>Fruity</c:v>
                </c:pt>
                <c:pt idx="2">
                  <c:v>Sour/Fermented</c:v>
                </c:pt>
                <c:pt idx="3">
                  <c:v>Green/Vegetative</c:v>
                </c:pt>
                <c:pt idx="4">
                  <c:v>Other</c:v>
                </c:pt>
                <c:pt idx="5">
                  <c:v>Roasted</c:v>
                </c:pt>
                <c:pt idx="6">
                  <c:v>Nutty/Cocoa</c:v>
                </c:pt>
                <c:pt idx="7">
                  <c:v>Spicy</c:v>
                </c:pt>
                <c:pt idx="8">
                  <c:v>Sweet</c:v>
                </c:pt>
              </c:strCache>
            </c:strRef>
          </c:cat>
          <c:val>
            <c:numRef>
              <c:f>Frekuensi!$F$6:$F$14</c:f>
              <c:numCache>
                <c:formatCode>0%</c:formatCode>
                <c:ptCount val="9"/>
                <c:pt idx="0">
                  <c:v>0.56666666666666665</c:v>
                </c:pt>
                <c:pt idx="1">
                  <c:v>0.9</c:v>
                </c:pt>
                <c:pt idx="2">
                  <c:v>0.46666666666666667</c:v>
                </c:pt>
                <c:pt idx="3">
                  <c:v>0.2</c:v>
                </c:pt>
                <c:pt idx="4">
                  <c:v>6.6666666666666666E-2</c:v>
                </c:pt>
                <c:pt idx="5">
                  <c:v>0.13333333333333333</c:v>
                </c:pt>
                <c:pt idx="6">
                  <c:v>0.23333333333333334</c:v>
                </c:pt>
                <c:pt idx="7">
                  <c:v>0.13333333333333333</c:v>
                </c:pt>
                <c:pt idx="8">
                  <c:v>0.73333333333333328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7-9049-AFB9-D0B6B1FC6CA7}"/>
            </c:ext>
          </c:extLst>
        </c:ser>
        <c:ser>
          <c:idx val="1"/>
          <c:order val="1"/>
          <c:tx>
            <c:v>Sampel 2</c:v>
          </c:tx>
          <c:spPr>
            <a:solidFill>
              <a:srgbClr val="F2A54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Frekuensi!$B$6:$B$14</c:f>
              <c:strCache>
                <c:ptCount val="9"/>
                <c:pt idx="0">
                  <c:v>Floral</c:v>
                </c:pt>
                <c:pt idx="1">
                  <c:v>Fruity</c:v>
                </c:pt>
                <c:pt idx="2">
                  <c:v>Sour/Fermented</c:v>
                </c:pt>
                <c:pt idx="3">
                  <c:v>Green/Vegetative</c:v>
                </c:pt>
                <c:pt idx="4">
                  <c:v>Other</c:v>
                </c:pt>
                <c:pt idx="5">
                  <c:v>Roasted</c:v>
                </c:pt>
                <c:pt idx="6">
                  <c:v>Nutty/Cocoa</c:v>
                </c:pt>
                <c:pt idx="7">
                  <c:v>Spicy</c:v>
                </c:pt>
                <c:pt idx="8">
                  <c:v>Sweet</c:v>
                </c:pt>
              </c:strCache>
            </c:strRef>
          </c:cat>
          <c:val>
            <c:numRef>
              <c:f>Frekuensi!$G$6:$G$14</c:f>
              <c:numCache>
                <c:formatCode>0%</c:formatCode>
                <c:ptCount val="9"/>
                <c:pt idx="0">
                  <c:v>3.3333333333333333E-2</c:v>
                </c:pt>
                <c:pt idx="1">
                  <c:v>0.1</c:v>
                </c:pt>
                <c:pt idx="2">
                  <c:v>0.13333333333333333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0.93333333333333335</c:v>
                </c:pt>
                <c:pt idx="6">
                  <c:v>0.73333333333333328</c:v>
                </c:pt>
                <c:pt idx="7">
                  <c:v>0.6</c:v>
                </c:pt>
                <c:pt idx="8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A7-9049-AFB9-D0B6B1FC6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800745"/>
        <c:axId val="72033852"/>
      </c:barChart>
      <c:catAx>
        <c:axId val="9980074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033852"/>
        <c:crosses val="autoZero"/>
        <c:auto val="1"/>
        <c:lblAlgn val="ctr"/>
        <c:lblOffset val="100"/>
        <c:noMultiLvlLbl val="0"/>
      </c:catAx>
      <c:valAx>
        <c:axId val="72033852"/>
        <c:scaling>
          <c:orientation val="minMax"/>
          <c:max val="1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ID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% panelis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8007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D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Flavor/Aftertaste — % sitasi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Sampel 1</c:v>
          </c:tx>
          <c:spPr>
            <a:solidFill>
              <a:srgbClr val="8D6E6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Frekuensi!$B$15:$B$23</c:f>
              <c:strCache>
                <c:ptCount val="9"/>
                <c:pt idx="0">
                  <c:v>Floral</c:v>
                </c:pt>
                <c:pt idx="1">
                  <c:v>Fruity</c:v>
                </c:pt>
                <c:pt idx="2">
                  <c:v>Sour/Fermented</c:v>
                </c:pt>
                <c:pt idx="3">
                  <c:v>Green/Vegetative</c:v>
                </c:pt>
                <c:pt idx="4">
                  <c:v>Other</c:v>
                </c:pt>
                <c:pt idx="5">
                  <c:v>Roasted</c:v>
                </c:pt>
                <c:pt idx="6">
                  <c:v>Nutty/Cocoa</c:v>
                </c:pt>
                <c:pt idx="7">
                  <c:v>Spicy</c:v>
                </c:pt>
                <c:pt idx="8">
                  <c:v>Sweet</c:v>
                </c:pt>
              </c:strCache>
            </c:strRef>
          </c:cat>
          <c:val>
            <c:numRef>
              <c:f>Frekuensi!$F$15:$F$23</c:f>
              <c:numCache>
                <c:formatCode>0%</c:formatCode>
                <c:ptCount val="9"/>
                <c:pt idx="0">
                  <c:v>0.3</c:v>
                </c:pt>
                <c:pt idx="1">
                  <c:v>0.8</c:v>
                </c:pt>
                <c:pt idx="2">
                  <c:v>0.5</c:v>
                </c:pt>
                <c:pt idx="3">
                  <c:v>3.3333333333333333E-2</c:v>
                </c:pt>
                <c:pt idx="4">
                  <c:v>3.3333333333333333E-2</c:v>
                </c:pt>
                <c:pt idx="5">
                  <c:v>0.1</c:v>
                </c:pt>
                <c:pt idx="6">
                  <c:v>0.23333333333333334</c:v>
                </c:pt>
                <c:pt idx="7">
                  <c:v>0.13333333333333333</c:v>
                </c:pt>
                <c:pt idx="8">
                  <c:v>0.46666666666666667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73-CB44-AE07-0E1051D71B04}"/>
            </c:ext>
          </c:extLst>
        </c:ser>
        <c:ser>
          <c:idx val="1"/>
          <c:order val="1"/>
          <c:tx>
            <c:v>Sampel 2</c:v>
          </c:tx>
          <c:spPr>
            <a:solidFill>
              <a:srgbClr val="F2A54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Frekuensi!$B$15:$B$23</c:f>
              <c:strCache>
                <c:ptCount val="9"/>
                <c:pt idx="0">
                  <c:v>Floral</c:v>
                </c:pt>
                <c:pt idx="1">
                  <c:v>Fruity</c:v>
                </c:pt>
                <c:pt idx="2">
                  <c:v>Sour/Fermented</c:v>
                </c:pt>
                <c:pt idx="3">
                  <c:v>Green/Vegetative</c:v>
                </c:pt>
                <c:pt idx="4">
                  <c:v>Other</c:v>
                </c:pt>
                <c:pt idx="5">
                  <c:v>Roasted</c:v>
                </c:pt>
                <c:pt idx="6">
                  <c:v>Nutty/Cocoa</c:v>
                </c:pt>
                <c:pt idx="7">
                  <c:v>Spicy</c:v>
                </c:pt>
                <c:pt idx="8">
                  <c:v>Sweet</c:v>
                </c:pt>
              </c:strCache>
            </c:strRef>
          </c:cat>
          <c:val>
            <c:numRef>
              <c:f>Frekuensi!$G$15:$G$23</c:f>
              <c:numCache>
                <c:formatCode>0%</c:formatCode>
                <c:ptCount val="9"/>
                <c:pt idx="0">
                  <c:v>3.3333333333333333E-2</c:v>
                </c:pt>
                <c:pt idx="1">
                  <c:v>0.13333333333333333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0.83333333333333337</c:v>
                </c:pt>
                <c:pt idx="6">
                  <c:v>0.6333333333333333</c:v>
                </c:pt>
                <c:pt idx="7">
                  <c:v>0.33333333333333331</c:v>
                </c:pt>
                <c:pt idx="8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73-CB44-AE07-0E1051D71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807738"/>
        <c:axId val="46538227"/>
      </c:barChart>
      <c:catAx>
        <c:axId val="7680773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538227"/>
        <c:crosses val="autoZero"/>
        <c:auto val="1"/>
        <c:lblAlgn val="ctr"/>
        <c:lblOffset val="100"/>
        <c:noMultiLvlLbl val="0"/>
      </c:catAx>
      <c:valAx>
        <c:axId val="46538227"/>
        <c:scaling>
          <c:orientation val="minMax"/>
          <c:max val="1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ID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% panelis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8077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176040</xdr:rowOff>
    </xdr:from>
    <xdr:to>
      <xdr:col>17</xdr:col>
      <xdr:colOff>255600</xdr:colOff>
      <xdr:row>19</xdr:row>
      <xdr:rowOff>176400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21</xdr:row>
      <xdr:rowOff>176040</xdr:rowOff>
    </xdr:from>
    <xdr:to>
      <xdr:col>17</xdr:col>
      <xdr:colOff>255600</xdr:colOff>
      <xdr:row>38</xdr:row>
      <xdr:rowOff>176400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zoomScaleNormal="100" workbookViewId="0">
      <pane ySplit="10" topLeftCell="A11" activePane="bottomLeft" state="frozen"/>
      <selection pane="bottomLeft" activeCell="B23" sqref="B23"/>
    </sheetView>
  </sheetViews>
  <sheetFormatPr baseColWidth="10" defaultColWidth="8.6640625" defaultRowHeight="15" x14ac:dyDescent="0.2"/>
  <cols>
    <col min="1" max="1" width="16" customWidth="1"/>
    <col min="2" max="2" width="26" customWidth="1"/>
    <col min="3" max="3" width="32" customWidth="1"/>
  </cols>
  <sheetData>
    <row r="1" spans="1:4" ht="15.75" customHeight="1" x14ac:dyDescent="0.2">
      <c r="A1" s="4" t="s">
        <v>0</v>
      </c>
    </row>
    <row r="2" spans="1:4" ht="15" customHeight="1" x14ac:dyDescent="0.2">
      <c r="A2" s="5" t="s">
        <v>1</v>
      </c>
    </row>
    <row r="4" spans="1:4" ht="15" customHeight="1" x14ac:dyDescent="0.2">
      <c r="A4" s="2" t="s">
        <v>2</v>
      </c>
      <c r="B4" s="2" t="s">
        <v>3</v>
      </c>
      <c r="C4" s="2" t="s">
        <v>4</v>
      </c>
    </row>
    <row r="5" spans="1:4" ht="15" customHeight="1" x14ac:dyDescent="0.2">
      <c r="A5" s="6" t="s">
        <v>5</v>
      </c>
      <c r="B5" s="7" t="s">
        <v>6</v>
      </c>
      <c r="C5" s="7" t="s">
        <v>169</v>
      </c>
      <c r="D5" s="8" t="s">
        <v>7</v>
      </c>
    </row>
    <row r="6" spans="1:4" ht="15" customHeight="1" x14ac:dyDescent="0.2">
      <c r="A6" s="6" t="s">
        <v>8</v>
      </c>
      <c r="B6" s="7" t="s">
        <v>9</v>
      </c>
      <c r="C6" s="7" t="s">
        <v>170</v>
      </c>
    </row>
    <row r="8" spans="1:4" ht="15" customHeight="1" x14ac:dyDescent="0.2">
      <c r="A8" s="6" t="s">
        <v>10</v>
      </c>
      <c r="B8" s="9" t="s">
        <v>171</v>
      </c>
    </row>
    <row r="10" spans="1:4" ht="15" customHeight="1" x14ac:dyDescent="0.2">
      <c r="A10" s="2" t="s">
        <v>11</v>
      </c>
      <c r="B10" s="2" t="s">
        <v>12</v>
      </c>
    </row>
    <row r="11" spans="1:4" ht="15" customHeight="1" x14ac:dyDescent="0.2">
      <c r="A11" s="3" t="s">
        <v>13</v>
      </c>
      <c r="B11" s="7" t="s">
        <v>14</v>
      </c>
    </row>
    <row r="12" spans="1:4" ht="15" customHeight="1" x14ac:dyDescent="0.2">
      <c r="A12" s="3" t="s">
        <v>15</v>
      </c>
      <c r="B12" s="7" t="s">
        <v>16</v>
      </c>
    </row>
    <row r="13" spans="1:4" ht="15" customHeight="1" x14ac:dyDescent="0.2">
      <c r="A13" s="3" t="s">
        <v>17</v>
      </c>
      <c r="B13" s="7" t="s">
        <v>18</v>
      </c>
    </row>
    <row r="14" spans="1:4" ht="15" customHeight="1" x14ac:dyDescent="0.2">
      <c r="A14" s="3" t="s">
        <v>19</v>
      </c>
      <c r="B14" s="7" t="s">
        <v>20</v>
      </c>
    </row>
    <row r="15" spans="1:4" ht="15" customHeight="1" x14ac:dyDescent="0.2">
      <c r="A15" s="3" t="s">
        <v>21</v>
      </c>
      <c r="B15" s="7" t="s">
        <v>22</v>
      </c>
    </row>
    <row r="16" spans="1:4" ht="15" customHeight="1" x14ac:dyDescent="0.2">
      <c r="A16" s="3" t="s">
        <v>23</v>
      </c>
      <c r="B16" s="7" t="s">
        <v>24</v>
      </c>
    </row>
    <row r="17" spans="1:2" ht="15" customHeight="1" x14ac:dyDescent="0.2">
      <c r="A17" s="3" t="s">
        <v>25</v>
      </c>
      <c r="B17" s="7" t="s">
        <v>26</v>
      </c>
    </row>
    <row r="18" spans="1:2" ht="15" customHeight="1" x14ac:dyDescent="0.2">
      <c r="A18" s="3" t="s">
        <v>27</v>
      </c>
      <c r="B18" s="7" t="s">
        <v>28</v>
      </c>
    </row>
    <row r="19" spans="1:2" ht="15" customHeight="1" x14ac:dyDescent="0.2">
      <c r="A19" s="3" t="s">
        <v>29</v>
      </c>
      <c r="B19" s="7" t="s">
        <v>30</v>
      </c>
    </row>
    <row r="20" spans="1:2" ht="15" customHeight="1" x14ac:dyDescent="0.2">
      <c r="A20" s="3" t="s">
        <v>31</v>
      </c>
      <c r="B20" s="7" t="s">
        <v>32</v>
      </c>
    </row>
    <row r="21" spans="1:2" ht="15" customHeight="1" x14ac:dyDescent="0.2">
      <c r="A21" s="3" t="s">
        <v>33</v>
      </c>
      <c r="B21" s="7" t="s">
        <v>34</v>
      </c>
    </row>
    <row r="22" spans="1:2" ht="15" customHeight="1" x14ac:dyDescent="0.2">
      <c r="A22" s="3" t="s">
        <v>35</v>
      </c>
      <c r="B22" s="7" t="s">
        <v>36</v>
      </c>
    </row>
    <row r="23" spans="1:2" ht="15" customHeight="1" x14ac:dyDescent="0.2">
      <c r="A23" s="3" t="s">
        <v>37</v>
      </c>
      <c r="B23" s="7" t="s">
        <v>38</v>
      </c>
    </row>
    <row r="24" spans="1:2" ht="15" customHeight="1" x14ac:dyDescent="0.2">
      <c r="A24" s="3" t="s">
        <v>39</v>
      </c>
      <c r="B24" s="7" t="s">
        <v>40</v>
      </c>
    </row>
    <row r="25" spans="1:2" ht="15" customHeight="1" x14ac:dyDescent="0.2">
      <c r="A25" s="3" t="s">
        <v>41</v>
      </c>
      <c r="B25" s="7" t="s">
        <v>42</v>
      </c>
    </row>
    <row r="26" spans="1:2" ht="15" customHeight="1" x14ac:dyDescent="0.2">
      <c r="A26" s="3" t="s">
        <v>43</v>
      </c>
      <c r="B26" s="7" t="s">
        <v>44</v>
      </c>
    </row>
    <row r="27" spans="1:2" ht="15" customHeight="1" x14ac:dyDescent="0.2">
      <c r="A27" s="3" t="s">
        <v>45</v>
      </c>
      <c r="B27" s="7" t="s">
        <v>46</v>
      </c>
    </row>
    <row r="28" spans="1:2" ht="15" customHeight="1" x14ac:dyDescent="0.2">
      <c r="A28" s="3" t="s">
        <v>47</v>
      </c>
      <c r="B28" s="7" t="s">
        <v>48</v>
      </c>
    </row>
    <row r="29" spans="1:2" ht="15" customHeight="1" x14ac:dyDescent="0.2">
      <c r="A29" s="3" t="s">
        <v>49</v>
      </c>
      <c r="B29" s="7" t="s">
        <v>50</v>
      </c>
    </row>
    <row r="30" spans="1:2" ht="15" customHeight="1" x14ac:dyDescent="0.2">
      <c r="A30" s="3" t="s">
        <v>51</v>
      </c>
      <c r="B30" s="7" t="s">
        <v>52</v>
      </c>
    </row>
    <row r="31" spans="1:2" ht="15" customHeight="1" x14ac:dyDescent="0.2">
      <c r="A31" s="3" t="s">
        <v>53</v>
      </c>
      <c r="B31" s="7" t="s">
        <v>54</v>
      </c>
    </row>
    <row r="32" spans="1:2" ht="15" customHeight="1" x14ac:dyDescent="0.2">
      <c r="A32" s="3" t="s">
        <v>55</v>
      </c>
      <c r="B32" s="7" t="s">
        <v>56</v>
      </c>
    </row>
    <row r="33" spans="1:2" ht="15" customHeight="1" x14ac:dyDescent="0.2">
      <c r="A33" s="3" t="s">
        <v>57</v>
      </c>
      <c r="B33" s="7" t="s">
        <v>58</v>
      </c>
    </row>
    <row r="34" spans="1:2" ht="15" customHeight="1" x14ac:dyDescent="0.2">
      <c r="A34" s="3" t="s">
        <v>59</v>
      </c>
      <c r="B34" s="7" t="s">
        <v>60</v>
      </c>
    </row>
    <row r="35" spans="1:2" ht="15" customHeight="1" x14ac:dyDescent="0.2">
      <c r="A35" s="3" t="s">
        <v>61</v>
      </c>
      <c r="B35" s="7" t="s">
        <v>62</v>
      </c>
    </row>
    <row r="36" spans="1:2" ht="15" customHeight="1" x14ac:dyDescent="0.2">
      <c r="A36" s="3" t="s">
        <v>63</v>
      </c>
      <c r="B36" s="7" t="s">
        <v>64</v>
      </c>
    </row>
    <row r="37" spans="1:2" ht="15" customHeight="1" x14ac:dyDescent="0.2">
      <c r="A37" s="3" t="s">
        <v>65</v>
      </c>
      <c r="B37" s="7" t="s">
        <v>66</v>
      </c>
    </row>
    <row r="38" spans="1:2" ht="15" customHeight="1" x14ac:dyDescent="0.2">
      <c r="A38" s="3" t="s">
        <v>67</v>
      </c>
      <c r="B38" s="7" t="s">
        <v>68</v>
      </c>
    </row>
    <row r="39" spans="1:2" ht="15" customHeight="1" x14ac:dyDescent="0.2">
      <c r="A39" s="3" t="s">
        <v>69</v>
      </c>
      <c r="B39" s="7" t="s">
        <v>70</v>
      </c>
    </row>
    <row r="40" spans="1:2" ht="15" customHeight="1" x14ac:dyDescent="0.2">
      <c r="A40" s="3" t="s">
        <v>71</v>
      </c>
      <c r="B40" s="7" t="s">
        <v>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4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24" sqref="F24"/>
    </sheetView>
  </sheetViews>
  <sheetFormatPr baseColWidth="10" defaultColWidth="8.6640625" defaultRowHeight="15" x14ac:dyDescent="0.2"/>
  <cols>
    <col min="1" max="1" width="10" customWidth="1"/>
    <col min="2" max="2" width="20" customWidth="1"/>
    <col min="3" max="3" width="8" customWidth="1"/>
    <col min="4" max="4" width="10" customWidth="1"/>
    <col min="5" max="15" width="11" customWidth="1"/>
    <col min="16" max="16" width="14" customWidth="1"/>
  </cols>
  <sheetData>
    <row r="1" spans="1:16" ht="15.75" customHeight="1" x14ac:dyDescent="0.2">
      <c r="A1" s="4" t="s">
        <v>73</v>
      </c>
    </row>
    <row r="2" spans="1:16" ht="15" customHeight="1" x14ac:dyDescent="0.2">
      <c r="A2" s="5" t="s">
        <v>74</v>
      </c>
    </row>
    <row r="3" spans="1:16" ht="15" customHeight="1" x14ac:dyDescent="0.2">
      <c r="A3" s="25" t="s">
        <v>11</v>
      </c>
      <c r="B3" s="25" t="s">
        <v>75</v>
      </c>
      <c r="C3" s="25" t="s">
        <v>76</v>
      </c>
      <c r="D3" s="25" t="s">
        <v>77</v>
      </c>
      <c r="E3" s="23" t="s">
        <v>78</v>
      </c>
      <c r="F3" s="23"/>
      <c r="G3" s="23"/>
      <c r="H3" s="23"/>
      <c r="I3" s="23"/>
      <c r="J3" s="23"/>
      <c r="K3" s="23"/>
      <c r="L3" s="23"/>
      <c r="M3" s="23" t="s">
        <v>79</v>
      </c>
      <c r="N3" s="23"/>
      <c r="O3" s="24" t="s">
        <v>80</v>
      </c>
      <c r="P3" s="24" t="s">
        <v>81</v>
      </c>
    </row>
    <row r="4" spans="1:16" ht="23.25" customHeight="1" x14ac:dyDescent="0.2">
      <c r="A4" s="25"/>
      <c r="B4" s="25"/>
      <c r="C4" s="25"/>
      <c r="D4" s="25"/>
      <c r="E4" s="10" t="s">
        <v>82</v>
      </c>
      <c r="F4" s="10" t="s">
        <v>83</v>
      </c>
      <c r="G4" s="10" t="s">
        <v>84</v>
      </c>
      <c r="H4" s="10" t="s">
        <v>85</v>
      </c>
      <c r="I4" s="10" t="s">
        <v>86</v>
      </c>
      <c r="J4" s="10" t="s">
        <v>87</v>
      </c>
      <c r="K4" s="10" t="s">
        <v>88</v>
      </c>
      <c r="L4" s="10" t="s">
        <v>89</v>
      </c>
      <c r="M4" s="10" t="s">
        <v>90</v>
      </c>
      <c r="N4" s="10" t="s">
        <v>91</v>
      </c>
      <c r="O4" s="24"/>
      <c r="P4" s="24"/>
    </row>
    <row r="5" spans="1:16" ht="15" customHeight="1" x14ac:dyDescent="0.2">
      <c r="A5" s="11" t="s">
        <v>13</v>
      </c>
      <c r="B5" s="11" t="str">
        <f>IF(Setup!$B$11="","",Setup!$B$11)</f>
        <v>Ayu</v>
      </c>
      <c r="C5" s="11">
        <v>1</v>
      </c>
      <c r="D5" s="11" t="str">
        <f>Setup!$B$5</f>
        <v>527</v>
      </c>
      <c r="E5" s="12">
        <v>6</v>
      </c>
      <c r="F5" s="12">
        <v>7</v>
      </c>
      <c r="G5" s="12">
        <v>6</v>
      </c>
      <c r="H5" s="12">
        <v>8</v>
      </c>
      <c r="I5" s="12">
        <v>8</v>
      </c>
      <c r="J5" s="12">
        <v>7</v>
      </c>
      <c r="K5" s="12">
        <v>8</v>
      </c>
      <c r="L5" s="12">
        <v>9</v>
      </c>
      <c r="M5" s="12">
        <v>0</v>
      </c>
      <c r="N5" s="12">
        <v>0</v>
      </c>
      <c r="O5" s="13">
        <f t="shared" ref="O5:O36" si="0">IF(COUNT(E5:L5)=8,0.65625*SUM(E5:L5)+52.75-2*N(M5)-4*N(N5),"")</f>
        <v>91.46875</v>
      </c>
      <c r="P5" s="11" t="str">
        <f t="shared" ref="P5:P36" si="1">IF(COUNT(E5:N5)=0,"kosong",IF(COUNT(E5:L5)&lt;8,"belum lengkap","OK"))</f>
        <v>OK</v>
      </c>
    </row>
    <row r="6" spans="1:16" ht="15" customHeight="1" x14ac:dyDescent="0.2">
      <c r="A6" s="11" t="s">
        <v>13</v>
      </c>
      <c r="B6" s="11" t="str">
        <f>IF(Setup!$B$11="","",Setup!$B$11)</f>
        <v>Ayu</v>
      </c>
      <c r="C6" s="11">
        <v>2</v>
      </c>
      <c r="D6" s="11" t="str">
        <f>Setup!$B$6</f>
        <v>381</v>
      </c>
      <c r="E6" s="12">
        <v>7</v>
      </c>
      <c r="F6" s="12">
        <v>6</v>
      </c>
      <c r="G6" s="12">
        <v>6</v>
      </c>
      <c r="H6" s="12">
        <v>7</v>
      </c>
      <c r="I6" s="12">
        <v>6</v>
      </c>
      <c r="J6" s="12">
        <v>6</v>
      </c>
      <c r="K6" s="12">
        <v>6</v>
      </c>
      <c r="L6" s="12">
        <v>4</v>
      </c>
      <c r="M6" s="12">
        <v>0</v>
      </c>
      <c r="N6" s="12">
        <v>0</v>
      </c>
      <c r="O6" s="13">
        <f t="shared" si="0"/>
        <v>84.25</v>
      </c>
      <c r="P6" s="11" t="str">
        <f t="shared" si="1"/>
        <v>OK</v>
      </c>
    </row>
    <row r="7" spans="1:16" ht="15" customHeight="1" x14ac:dyDescent="0.2">
      <c r="A7" s="11" t="s">
        <v>15</v>
      </c>
      <c r="B7" s="11" t="str">
        <f>IF(Setup!$B$12="","",Setup!$B$12)</f>
        <v>Bima</v>
      </c>
      <c r="C7" s="11">
        <v>1</v>
      </c>
      <c r="D7" s="11" t="str">
        <f>Setup!$B$5</f>
        <v>527</v>
      </c>
      <c r="E7" s="12">
        <v>8</v>
      </c>
      <c r="F7" s="12">
        <v>8</v>
      </c>
      <c r="G7" s="12">
        <v>7</v>
      </c>
      <c r="H7" s="12">
        <v>7</v>
      </c>
      <c r="I7" s="12">
        <v>9</v>
      </c>
      <c r="J7" s="12">
        <v>8</v>
      </c>
      <c r="K7" s="12">
        <v>7</v>
      </c>
      <c r="L7" s="12">
        <v>9</v>
      </c>
      <c r="M7" s="12">
        <v>1</v>
      </c>
      <c r="N7" s="12">
        <v>0</v>
      </c>
      <c r="O7" s="13">
        <f t="shared" si="0"/>
        <v>92.09375</v>
      </c>
      <c r="P7" s="11" t="str">
        <f t="shared" si="1"/>
        <v>OK</v>
      </c>
    </row>
    <row r="8" spans="1:16" ht="15" customHeight="1" x14ac:dyDescent="0.2">
      <c r="A8" s="11" t="s">
        <v>15</v>
      </c>
      <c r="B8" s="11" t="str">
        <f>IF(Setup!$B$12="","",Setup!$B$12)</f>
        <v>Bima</v>
      </c>
      <c r="C8" s="11">
        <v>2</v>
      </c>
      <c r="D8" s="11" t="str">
        <f>Setup!$B$6</f>
        <v>381</v>
      </c>
      <c r="E8" s="12">
        <v>6</v>
      </c>
      <c r="F8" s="12">
        <v>6</v>
      </c>
      <c r="G8" s="12">
        <v>6</v>
      </c>
      <c r="H8" s="12">
        <v>6</v>
      </c>
      <c r="I8" s="12">
        <v>5</v>
      </c>
      <c r="J8" s="12">
        <v>6</v>
      </c>
      <c r="K8" s="12">
        <v>6</v>
      </c>
      <c r="L8" s="12">
        <v>6</v>
      </c>
      <c r="M8" s="12">
        <v>0</v>
      </c>
      <c r="N8" s="12">
        <v>0</v>
      </c>
      <c r="O8" s="13">
        <f t="shared" si="0"/>
        <v>83.59375</v>
      </c>
      <c r="P8" s="11" t="str">
        <f t="shared" si="1"/>
        <v>OK</v>
      </c>
    </row>
    <row r="9" spans="1:16" ht="15" customHeight="1" x14ac:dyDescent="0.2">
      <c r="A9" s="11" t="s">
        <v>17</v>
      </c>
      <c r="B9" s="11" t="str">
        <f>IF(Setup!$B$13="","",Setup!$B$13)</f>
        <v>Citra</v>
      </c>
      <c r="C9" s="11">
        <v>1</v>
      </c>
      <c r="D9" s="11" t="str">
        <f>Setup!$B$5</f>
        <v>527</v>
      </c>
      <c r="E9" s="12">
        <v>7</v>
      </c>
      <c r="F9" s="12">
        <v>8</v>
      </c>
      <c r="G9" s="12">
        <v>7</v>
      </c>
      <c r="H9" s="12">
        <v>7</v>
      </c>
      <c r="I9" s="12">
        <v>9</v>
      </c>
      <c r="J9" s="12">
        <v>7</v>
      </c>
      <c r="K9" s="12">
        <v>5</v>
      </c>
      <c r="L9" s="12">
        <v>7</v>
      </c>
      <c r="M9" s="12">
        <v>0</v>
      </c>
      <c r="N9" s="12">
        <v>0</v>
      </c>
      <c r="O9" s="13">
        <f t="shared" si="0"/>
        <v>90.15625</v>
      </c>
      <c r="P9" s="11" t="str">
        <f t="shared" si="1"/>
        <v>OK</v>
      </c>
    </row>
    <row r="10" spans="1:16" ht="15" customHeight="1" x14ac:dyDescent="0.2">
      <c r="A10" s="11" t="s">
        <v>17</v>
      </c>
      <c r="B10" s="11" t="str">
        <f>IF(Setup!$B$13="","",Setup!$B$13)</f>
        <v>Citra</v>
      </c>
      <c r="C10" s="11">
        <v>2</v>
      </c>
      <c r="D10" s="11" t="str">
        <f>Setup!$B$6</f>
        <v>381</v>
      </c>
      <c r="E10" s="12">
        <v>5</v>
      </c>
      <c r="F10" s="12">
        <v>6</v>
      </c>
      <c r="G10" s="12">
        <v>4</v>
      </c>
      <c r="H10" s="12">
        <v>4</v>
      </c>
      <c r="I10" s="12">
        <v>5</v>
      </c>
      <c r="J10" s="12">
        <v>7</v>
      </c>
      <c r="K10" s="12">
        <v>5</v>
      </c>
      <c r="L10" s="12">
        <v>5</v>
      </c>
      <c r="M10" s="12">
        <v>0</v>
      </c>
      <c r="N10" s="12">
        <v>0</v>
      </c>
      <c r="O10" s="13">
        <f t="shared" si="0"/>
        <v>79.65625</v>
      </c>
      <c r="P10" s="11" t="str">
        <f t="shared" si="1"/>
        <v>OK</v>
      </c>
    </row>
    <row r="11" spans="1:16" ht="15" customHeight="1" x14ac:dyDescent="0.2">
      <c r="A11" s="11" t="s">
        <v>19</v>
      </c>
      <c r="B11" s="11" t="str">
        <f>IF(Setup!$B$14="","",Setup!$B$14)</f>
        <v>Dewi</v>
      </c>
      <c r="C11" s="11">
        <v>1</v>
      </c>
      <c r="D11" s="11" t="str">
        <f>Setup!$B$5</f>
        <v>527</v>
      </c>
      <c r="E11" s="12">
        <v>7</v>
      </c>
      <c r="F11" s="12">
        <v>7</v>
      </c>
      <c r="G11" s="12">
        <v>8</v>
      </c>
      <c r="H11" s="12">
        <v>7</v>
      </c>
      <c r="I11" s="12">
        <v>7</v>
      </c>
      <c r="J11" s="12">
        <v>8</v>
      </c>
      <c r="K11" s="12">
        <v>8</v>
      </c>
      <c r="L11" s="12">
        <v>8</v>
      </c>
      <c r="M11" s="12">
        <v>0</v>
      </c>
      <c r="N11" s="12">
        <v>0</v>
      </c>
      <c r="O11" s="13">
        <f t="shared" si="0"/>
        <v>92.125</v>
      </c>
      <c r="P11" s="11" t="str">
        <f t="shared" si="1"/>
        <v>OK</v>
      </c>
    </row>
    <row r="12" spans="1:16" ht="15" customHeight="1" x14ac:dyDescent="0.2">
      <c r="A12" s="11" t="s">
        <v>19</v>
      </c>
      <c r="B12" s="11" t="str">
        <f>IF(Setup!$B$14="","",Setup!$B$14)</f>
        <v>Dewi</v>
      </c>
      <c r="C12" s="11">
        <v>2</v>
      </c>
      <c r="D12" s="11" t="str">
        <f>Setup!$B$6</f>
        <v>381</v>
      </c>
      <c r="E12" s="12">
        <v>5</v>
      </c>
      <c r="F12" s="12">
        <v>6</v>
      </c>
      <c r="G12" s="12">
        <v>6</v>
      </c>
      <c r="H12" s="12">
        <v>6</v>
      </c>
      <c r="I12" s="12">
        <v>6</v>
      </c>
      <c r="J12" s="12">
        <v>5</v>
      </c>
      <c r="K12" s="12">
        <v>5</v>
      </c>
      <c r="L12" s="12">
        <v>5</v>
      </c>
      <c r="M12" s="12">
        <v>0</v>
      </c>
      <c r="N12" s="12">
        <v>0</v>
      </c>
      <c r="O12" s="13">
        <f t="shared" si="0"/>
        <v>81.625</v>
      </c>
      <c r="P12" s="11" t="str">
        <f t="shared" si="1"/>
        <v>OK</v>
      </c>
    </row>
    <row r="13" spans="1:16" ht="15" customHeight="1" x14ac:dyDescent="0.2">
      <c r="A13" s="11" t="s">
        <v>21</v>
      </c>
      <c r="B13" s="11" t="str">
        <f>IF(Setup!$B$15="","",Setup!$B$15)</f>
        <v>Eka</v>
      </c>
      <c r="C13" s="11">
        <v>1</v>
      </c>
      <c r="D13" s="11" t="str">
        <f>Setup!$B$5</f>
        <v>527</v>
      </c>
      <c r="E13" s="12">
        <v>7</v>
      </c>
      <c r="F13" s="12">
        <v>8</v>
      </c>
      <c r="G13" s="12">
        <v>7</v>
      </c>
      <c r="H13" s="12">
        <v>7</v>
      </c>
      <c r="I13" s="12">
        <v>7</v>
      </c>
      <c r="J13" s="12">
        <v>8</v>
      </c>
      <c r="K13" s="12">
        <v>9</v>
      </c>
      <c r="L13" s="12">
        <v>7</v>
      </c>
      <c r="M13" s="12">
        <v>0</v>
      </c>
      <c r="N13" s="12">
        <v>0</v>
      </c>
      <c r="O13" s="13">
        <f t="shared" si="0"/>
        <v>92.125</v>
      </c>
      <c r="P13" s="11" t="str">
        <f t="shared" si="1"/>
        <v>OK</v>
      </c>
    </row>
    <row r="14" spans="1:16" ht="15" customHeight="1" x14ac:dyDescent="0.2">
      <c r="A14" s="11" t="s">
        <v>21</v>
      </c>
      <c r="B14" s="11" t="str">
        <f>IF(Setup!$B$15="","",Setup!$B$15)</f>
        <v>Eka</v>
      </c>
      <c r="C14" s="11">
        <v>2</v>
      </c>
      <c r="D14" s="11" t="str">
        <f>Setup!$B$6</f>
        <v>381</v>
      </c>
      <c r="E14" s="12">
        <v>6</v>
      </c>
      <c r="F14" s="12">
        <v>4</v>
      </c>
      <c r="G14" s="12">
        <v>5</v>
      </c>
      <c r="H14" s="12">
        <v>7</v>
      </c>
      <c r="I14" s="12">
        <v>4</v>
      </c>
      <c r="J14" s="12">
        <v>6</v>
      </c>
      <c r="K14" s="12">
        <v>4</v>
      </c>
      <c r="L14" s="12">
        <v>7</v>
      </c>
      <c r="M14" s="12">
        <v>0</v>
      </c>
      <c r="N14" s="12">
        <v>0</v>
      </c>
      <c r="O14" s="13">
        <f t="shared" si="0"/>
        <v>80.96875</v>
      </c>
      <c r="P14" s="11" t="str">
        <f t="shared" si="1"/>
        <v>OK</v>
      </c>
    </row>
    <row r="15" spans="1:16" ht="15" customHeight="1" x14ac:dyDescent="0.2">
      <c r="A15" s="11" t="s">
        <v>23</v>
      </c>
      <c r="B15" s="11" t="str">
        <f>IF(Setup!$B$16="","",Setup!$B$16)</f>
        <v>Fajar</v>
      </c>
      <c r="C15" s="11">
        <v>1</v>
      </c>
      <c r="D15" s="11" t="str">
        <f>Setup!$B$5</f>
        <v>527</v>
      </c>
      <c r="E15" s="12">
        <v>7</v>
      </c>
      <c r="F15" s="12">
        <v>7</v>
      </c>
      <c r="G15" s="12">
        <v>8</v>
      </c>
      <c r="H15" s="12">
        <v>7</v>
      </c>
      <c r="I15" s="12">
        <v>7</v>
      </c>
      <c r="J15" s="12">
        <v>7</v>
      </c>
      <c r="K15" s="12">
        <v>5</v>
      </c>
      <c r="L15" s="12">
        <v>9</v>
      </c>
      <c r="M15" s="12">
        <v>0</v>
      </c>
      <c r="N15" s="12">
        <v>0</v>
      </c>
      <c r="O15" s="13">
        <f t="shared" si="0"/>
        <v>90.15625</v>
      </c>
      <c r="P15" s="11" t="str">
        <f t="shared" si="1"/>
        <v>OK</v>
      </c>
    </row>
    <row r="16" spans="1:16" ht="15" customHeight="1" x14ac:dyDescent="0.2">
      <c r="A16" s="11" t="s">
        <v>23</v>
      </c>
      <c r="B16" s="11" t="str">
        <f>IF(Setup!$B$16="","",Setup!$B$16)</f>
        <v>Fajar</v>
      </c>
      <c r="C16" s="11">
        <v>2</v>
      </c>
      <c r="D16" s="11" t="str">
        <f>Setup!$B$6</f>
        <v>381</v>
      </c>
      <c r="E16" s="12">
        <v>6</v>
      </c>
      <c r="F16" s="12">
        <v>7</v>
      </c>
      <c r="G16" s="12">
        <v>5</v>
      </c>
      <c r="H16" s="12">
        <v>7</v>
      </c>
      <c r="I16" s="12">
        <v>6</v>
      </c>
      <c r="J16" s="12">
        <v>6</v>
      </c>
      <c r="K16" s="12">
        <v>5</v>
      </c>
      <c r="L16" s="12">
        <v>7</v>
      </c>
      <c r="M16" s="12">
        <v>0</v>
      </c>
      <c r="N16" s="12">
        <v>0</v>
      </c>
      <c r="O16" s="13">
        <f t="shared" si="0"/>
        <v>84.90625</v>
      </c>
      <c r="P16" s="11" t="str">
        <f t="shared" si="1"/>
        <v>OK</v>
      </c>
    </row>
    <row r="17" spans="1:16" ht="15" customHeight="1" x14ac:dyDescent="0.2">
      <c r="A17" s="11" t="s">
        <v>25</v>
      </c>
      <c r="B17" s="11" t="str">
        <f>IF(Setup!$B$17="","",Setup!$B$17)</f>
        <v>Gita</v>
      </c>
      <c r="C17" s="11">
        <v>1</v>
      </c>
      <c r="D17" s="11" t="str">
        <f>Setup!$B$5</f>
        <v>527</v>
      </c>
      <c r="E17" s="12">
        <v>8</v>
      </c>
      <c r="F17" s="12">
        <v>8</v>
      </c>
      <c r="G17" s="12">
        <v>7</v>
      </c>
      <c r="H17" s="12">
        <v>8</v>
      </c>
      <c r="I17" s="12">
        <v>7</v>
      </c>
      <c r="J17" s="12">
        <v>5</v>
      </c>
      <c r="K17" s="12">
        <v>7</v>
      </c>
      <c r="L17" s="12">
        <v>9</v>
      </c>
      <c r="M17" s="12">
        <v>0</v>
      </c>
      <c r="N17" s="12">
        <v>0</v>
      </c>
      <c r="O17" s="13">
        <f t="shared" si="0"/>
        <v>91.46875</v>
      </c>
      <c r="P17" s="11" t="str">
        <f t="shared" si="1"/>
        <v>OK</v>
      </c>
    </row>
    <row r="18" spans="1:16" ht="15" customHeight="1" x14ac:dyDescent="0.2">
      <c r="A18" s="11" t="s">
        <v>25</v>
      </c>
      <c r="B18" s="11" t="str">
        <f>IF(Setup!$B$17="","",Setup!$B$17)</f>
        <v>Gita</v>
      </c>
      <c r="C18" s="11">
        <v>2</v>
      </c>
      <c r="D18" s="11" t="str">
        <f>Setup!$B$6</f>
        <v>381</v>
      </c>
      <c r="E18" s="12">
        <v>6</v>
      </c>
      <c r="F18" s="12">
        <v>5</v>
      </c>
      <c r="G18" s="12">
        <v>6</v>
      </c>
      <c r="H18" s="12">
        <v>7</v>
      </c>
      <c r="I18" s="12">
        <v>3</v>
      </c>
      <c r="J18" s="12">
        <v>6</v>
      </c>
      <c r="K18" s="12">
        <v>6</v>
      </c>
      <c r="L18" s="12">
        <v>6</v>
      </c>
      <c r="M18" s="12">
        <v>1</v>
      </c>
      <c r="N18" s="12">
        <v>0</v>
      </c>
      <c r="O18" s="13">
        <f t="shared" si="0"/>
        <v>80.28125</v>
      </c>
      <c r="P18" s="11" t="str">
        <f t="shared" si="1"/>
        <v>OK</v>
      </c>
    </row>
    <row r="19" spans="1:16" ht="15" customHeight="1" x14ac:dyDescent="0.2">
      <c r="A19" s="11" t="s">
        <v>27</v>
      </c>
      <c r="B19" s="11" t="str">
        <f>IF(Setup!$B$18="","",Setup!$B$18)</f>
        <v>Hana</v>
      </c>
      <c r="C19" s="11">
        <v>1</v>
      </c>
      <c r="D19" s="11" t="str">
        <f>Setup!$B$5</f>
        <v>527</v>
      </c>
      <c r="E19" s="12">
        <v>8</v>
      </c>
      <c r="F19" s="12">
        <v>7</v>
      </c>
      <c r="G19" s="12">
        <v>6</v>
      </c>
      <c r="H19" s="12">
        <v>8</v>
      </c>
      <c r="I19" s="12">
        <v>8</v>
      </c>
      <c r="J19" s="12">
        <v>8</v>
      </c>
      <c r="K19" s="12">
        <v>8</v>
      </c>
      <c r="L19" s="12">
        <v>7</v>
      </c>
      <c r="M19" s="12">
        <v>0</v>
      </c>
      <c r="N19" s="12">
        <v>0</v>
      </c>
      <c r="O19" s="13">
        <f t="shared" si="0"/>
        <v>92.125</v>
      </c>
      <c r="P19" s="11" t="str">
        <f t="shared" si="1"/>
        <v>OK</v>
      </c>
    </row>
    <row r="20" spans="1:16" ht="15" customHeight="1" x14ac:dyDescent="0.2">
      <c r="A20" s="11" t="s">
        <v>27</v>
      </c>
      <c r="B20" s="11" t="str">
        <f>IF(Setup!$B$18="","",Setup!$B$18)</f>
        <v>Hana</v>
      </c>
      <c r="C20" s="11">
        <v>2</v>
      </c>
      <c r="D20" s="11" t="str">
        <f>Setup!$B$6</f>
        <v>381</v>
      </c>
      <c r="E20" s="12">
        <v>2</v>
      </c>
      <c r="F20" s="12">
        <v>5</v>
      </c>
      <c r="G20" s="12">
        <v>5</v>
      </c>
      <c r="H20" s="12">
        <v>6</v>
      </c>
      <c r="I20" s="12">
        <v>6</v>
      </c>
      <c r="J20" s="12">
        <v>5</v>
      </c>
      <c r="K20" s="12">
        <v>4</v>
      </c>
      <c r="L20" s="12">
        <v>5</v>
      </c>
      <c r="M20" s="12">
        <v>0</v>
      </c>
      <c r="N20" s="12">
        <v>0</v>
      </c>
      <c r="O20" s="13">
        <f t="shared" si="0"/>
        <v>77.6875</v>
      </c>
      <c r="P20" s="11" t="str">
        <f t="shared" si="1"/>
        <v>OK</v>
      </c>
    </row>
    <row r="21" spans="1:16" ht="15" customHeight="1" x14ac:dyDescent="0.2">
      <c r="A21" s="11" t="s">
        <v>29</v>
      </c>
      <c r="B21" s="11" t="str">
        <f>IF(Setup!$B$19="","",Setup!$B$19)</f>
        <v>Indra</v>
      </c>
      <c r="C21" s="11">
        <v>1</v>
      </c>
      <c r="D21" s="11" t="str">
        <f>Setup!$B$5</f>
        <v>527</v>
      </c>
      <c r="E21" s="12">
        <v>7</v>
      </c>
      <c r="F21" s="12">
        <v>9</v>
      </c>
      <c r="G21" s="12">
        <v>7</v>
      </c>
      <c r="H21" s="12">
        <v>7</v>
      </c>
      <c r="I21" s="12">
        <v>7</v>
      </c>
      <c r="J21" s="12">
        <v>6</v>
      </c>
      <c r="K21" s="12">
        <v>7</v>
      </c>
      <c r="L21" s="12">
        <v>7</v>
      </c>
      <c r="M21" s="12">
        <v>0</v>
      </c>
      <c r="N21" s="12">
        <v>0</v>
      </c>
      <c r="O21" s="13">
        <f t="shared" si="0"/>
        <v>90.15625</v>
      </c>
      <c r="P21" s="11" t="str">
        <f t="shared" si="1"/>
        <v>OK</v>
      </c>
    </row>
    <row r="22" spans="1:16" ht="15" customHeight="1" x14ac:dyDescent="0.2">
      <c r="A22" s="11" t="s">
        <v>29</v>
      </c>
      <c r="B22" s="11" t="str">
        <f>IF(Setup!$B$19="","",Setup!$B$19)</f>
        <v>Indra</v>
      </c>
      <c r="C22" s="11">
        <v>2</v>
      </c>
      <c r="D22" s="11" t="str">
        <f>Setup!$B$6</f>
        <v>381</v>
      </c>
      <c r="E22" s="12">
        <v>5</v>
      </c>
      <c r="F22" s="12">
        <v>6</v>
      </c>
      <c r="G22" s="12">
        <v>5</v>
      </c>
      <c r="H22" s="12">
        <v>6</v>
      </c>
      <c r="I22" s="12">
        <v>6</v>
      </c>
      <c r="J22" s="12">
        <v>6</v>
      </c>
      <c r="K22" s="12">
        <v>5</v>
      </c>
      <c r="L22" s="12">
        <v>4</v>
      </c>
      <c r="M22" s="12">
        <v>0</v>
      </c>
      <c r="N22" s="12">
        <v>0</v>
      </c>
      <c r="O22" s="13">
        <f t="shared" si="0"/>
        <v>80.96875</v>
      </c>
      <c r="P22" s="11" t="str">
        <f t="shared" si="1"/>
        <v>OK</v>
      </c>
    </row>
    <row r="23" spans="1:16" ht="15" customHeight="1" x14ac:dyDescent="0.2">
      <c r="A23" s="11" t="s">
        <v>31</v>
      </c>
      <c r="B23" s="11" t="str">
        <f>IF(Setup!$B$20="","",Setup!$B$20)</f>
        <v>Joko</v>
      </c>
      <c r="C23" s="11">
        <v>1</v>
      </c>
      <c r="D23" s="11" t="str">
        <f>Setup!$B$5</f>
        <v>527</v>
      </c>
      <c r="E23" s="12">
        <v>8</v>
      </c>
      <c r="F23" s="12">
        <v>8</v>
      </c>
      <c r="G23" s="12">
        <v>9</v>
      </c>
      <c r="H23" s="12">
        <v>6</v>
      </c>
      <c r="I23" s="12">
        <v>8</v>
      </c>
      <c r="J23" s="12">
        <v>9</v>
      </c>
      <c r="K23" s="12">
        <v>7</v>
      </c>
      <c r="L23" s="12">
        <v>8</v>
      </c>
      <c r="M23" s="12">
        <v>0</v>
      </c>
      <c r="N23" s="12">
        <v>0</v>
      </c>
      <c r="O23" s="13">
        <f t="shared" si="0"/>
        <v>94.09375</v>
      </c>
      <c r="P23" s="11" t="str">
        <f t="shared" si="1"/>
        <v>OK</v>
      </c>
    </row>
    <row r="24" spans="1:16" ht="15" customHeight="1" x14ac:dyDescent="0.2">
      <c r="A24" s="11" t="s">
        <v>31</v>
      </c>
      <c r="B24" s="11" t="str">
        <f>IF(Setup!$B$20="","",Setup!$B$20)</f>
        <v>Joko</v>
      </c>
      <c r="C24" s="11">
        <v>2</v>
      </c>
      <c r="D24" s="11" t="str">
        <f>Setup!$B$6</f>
        <v>381</v>
      </c>
      <c r="E24" s="12">
        <v>6</v>
      </c>
      <c r="F24" s="12">
        <v>5</v>
      </c>
      <c r="G24" s="12">
        <v>4</v>
      </c>
      <c r="H24" s="12">
        <v>5</v>
      </c>
      <c r="I24" s="12">
        <v>6</v>
      </c>
      <c r="J24" s="12">
        <v>7</v>
      </c>
      <c r="K24" s="12">
        <v>6</v>
      </c>
      <c r="L24" s="12">
        <v>6</v>
      </c>
      <c r="M24" s="12">
        <v>0</v>
      </c>
      <c r="N24" s="12">
        <v>0</v>
      </c>
      <c r="O24" s="13">
        <f t="shared" si="0"/>
        <v>82.28125</v>
      </c>
      <c r="P24" s="11" t="str">
        <f t="shared" si="1"/>
        <v>OK</v>
      </c>
    </row>
    <row r="25" spans="1:16" ht="15" customHeight="1" x14ac:dyDescent="0.2">
      <c r="A25" s="11" t="s">
        <v>33</v>
      </c>
      <c r="B25" s="11" t="str">
        <f>IF(Setup!$B$21="","",Setup!$B$21)</f>
        <v>Kirana</v>
      </c>
      <c r="C25" s="11">
        <v>1</v>
      </c>
      <c r="D25" s="11" t="str">
        <f>Setup!$B$5</f>
        <v>527</v>
      </c>
      <c r="E25" s="12">
        <v>8</v>
      </c>
      <c r="F25" s="12">
        <v>6</v>
      </c>
      <c r="G25" s="12">
        <v>7</v>
      </c>
      <c r="H25" s="12">
        <v>8</v>
      </c>
      <c r="I25" s="12">
        <v>7</v>
      </c>
      <c r="J25" s="12">
        <v>8</v>
      </c>
      <c r="K25" s="12">
        <v>7</v>
      </c>
      <c r="L25" s="12">
        <v>7</v>
      </c>
      <c r="M25" s="12">
        <v>0</v>
      </c>
      <c r="N25" s="12">
        <v>0</v>
      </c>
      <c r="O25" s="13">
        <f t="shared" si="0"/>
        <v>90.8125</v>
      </c>
      <c r="P25" s="11" t="str">
        <f t="shared" si="1"/>
        <v>OK</v>
      </c>
    </row>
    <row r="26" spans="1:16" ht="15" customHeight="1" x14ac:dyDescent="0.2">
      <c r="A26" s="11" t="s">
        <v>33</v>
      </c>
      <c r="B26" s="11" t="str">
        <f>IF(Setup!$B$21="","",Setup!$B$21)</f>
        <v>Kirana</v>
      </c>
      <c r="C26" s="11">
        <v>2</v>
      </c>
      <c r="D26" s="11" t="str">
        <f>Setup!$B$6</f>
        <v>381</v>
      </c>
      <c r="E26" s="12">
        <v>5</v>
      </c>
      <c r="F26" s="12">
        <v>7</v>
      </c>
      <c r="G26" s="12">
        <v>5</v>
      </c>
      <c r="H26" s="12">
        <v>6</v>
      </c>
      <c r="I26" s="12">
        <v>8</v>
      </c>
      <c r="J26" s="12">
        <v>4</v>
      </c>
      <c r="K26" s="12">
        <v>6</v>
      </c>
      <c r="L26" s="12">
        <v>5</v>
      </c>
      <c r="M26" s="12">
        <v>0</v>
      </c>
      <c r="N26" s="12">
        <v>0</v>
      </c>
      <c r="O26" s="13">
        <f t="shared" si="0"/>
        <v>82.9375</v>
      </c>
      <c r="P26" s="11" t="str">
        <f t="shared" si="1"/>
        <v>OK</v>
      </c>
    </row>
    <row r="27" spans="1:16" ht="15" customHeight="1" x14ac:dyDescent="0.2">
      <c r="A27" s="11" t="s">
        <v>35</v>
      </c>
      <c r="B27" s="11" t="str">
        <f>IF(Setup!$B$22="","",Setup!$B$22)</f>
        <v>Lutfi</v>
      </c>
      <c r="C27" s="11">
        <v>1</v>
      </c>
      <c r="D27" s="11" t="str">
        <f>Setup!$B$5</f>
        <v>527</v>
      </c>
      <c r="E27" s="12">
        <v>7</v>
      </c>
      <c r="F27" s="12">
        <v>9</v>
      </c>
      <c r="G27" s="12">
        <v>8</v>
      </c>
      <c r="H27" s="12">
        <v>9</v>
      </c>
      <c r="I27" s="12">
        <v>7</v>
      </c>
      <c r="J27" s="12">
        <v>8</v>
      </c>
      <c r="K27" s="12">
        <v>7</v>
      </c>
      <c r="L27" s="12">
        <v>8</v>
      </c>
      <c r="M27" s="12">
        <v>0</v>
      </c>
      <c r="N27" s="12">
        <v>0</v>
      </c>
      <c r="O27" s="13">
        <f t="shared" si="0"/>
        <v>94.09375</v>
      </c>
      <c r="P27" s="11" t="str">
        <f t="shared" si="1"/>
        <v>OK</v>
      </c>
    </row>
    <row r="28" spans="1:16" ht="15" customHeight="1" x14ac:dyDescent="0.2">
      <c r="A28" s="11" t="s">
        <v>35</v>
      </c>
      <c r="B28" s="11" t="str">
        <f>IF(Setup!$B$22="","",Setup!$B$22)</f>
        <v>Lutfi</v>
      </c>
      <c r="C28" s="11">
        <v>2</v>
      </c>
      <c r="D28" s="11" t="str">
        <f>Setup!$B$6</f>
        <v>381</v>
      </c>
      <c r="E28" s="12">
        <v>7</v>
      </c>
      <c r="F28" s="12">
        <v>5</v>
      </c>
      <c r="G28" s="12">
        <v>6</v>
      </c>
      <c r="H28" s="12">
        <v>5</v>
      </c>
      <c r="I28" s="12">
        <v>5</v>
      </c>
      <c r="J28" s="12">
        <v>7</v>
      </c>
      <c r="K28" s="12">
        <v>5</v>
      </c>
      <c r="L28" s="12">
        <v>6</v>
      </c>
      <c r="M28" s="12">
        <v>0</v>
      </c>
      <c r="N28" s="12">
        <v>0</v>
      </c>
      <c r="O28" s="13">
        <f t="shared" si="0"/>
        <v>82.9375</v>
      </c>
      <c r="P28" s="11" t="str">
        <f t="shared" si="1"/>
        <v>OK</v>
      </c>
    </row>
    <row r="29" spans="1:16" ht="15" customHeight="1" x14ac:dyDescent="0.2">
      <c r="A29" s="11" t="s">
        <v>37</v>
      </c>
      <c r="B29" s="11" t="str">
        <f>IF(Setup!$B$23="","",Setup!$B$23)</f>
        <v>Maya</v>
      </c>
      <c r="C29" s="11">
        <v>1</v>
      </c>
      <c r="D29" s="11" t="str">
        <f>Setup!$B$5</f>
        <v>527</v>
      </c>
      <c r="E29" s="12">
        <v>7</v>
      </c>
      <c r="F29" s="12">
        <v>8</v>
      </c>
      <c r="G29" s="12">
        <v>7</v>
      </c>
      <c r="H29" s="12">
        <v>5</v>
      </c>
      <c r="I29" s="12">
        <v>7</v>
      </c>
      <c r="J29" s="12">
        <v>6</v>
      </c>
      <c r="K29" s="12">
        <v>8</v>
      </c>
      <c r="L29" s="12">
        <v>7</v>
      </c>
      <c r="M29" s="12">
        <v>0</v>
      </c>
      <c r="N29" s="12">
        <v>0</v>
      </c>
      <c r="O29" s="13">
        <f t="shared" si="0"/>
        <v>88.84375</v>
      </c>
      <c r="P29" s="11" t="str">
        <f t="shared" si="1"/>
        <v>OK</v>
      </c>
    </row>
    <row r="30" spans="1:16" ht="15" customHeight="1" x14ac:dyDescent="0.2">
      <c r="A30" s="11" t="s">
        <v>37</v>
      </c>
      <c r="B30" s="11" t="str">
        <f>IF(Setup!$B$23="","",Setup!$B$23)</f>
        <v>Maya</v>
      </c>
      <c r="C30" s="11">
        <v>2</v>
      </c>
      <c r="D30" s="11" t="str">
        <f>Setup!$B$6</f>
        <v>381</v>
      </c>
      <c r="E30" s="12">
        <v>4</v>
      </c>
      <c r="F30" s="12">
        <v>8</v>
      </c>
      <c r="G30" s="12">
        <v>4</v>
      </c>
      <c r="H30" s="12">
        <v>6</v>
      </c>
      <c r="I30" s="12">
        <v>6</v>
      </c>
      <c r="J30" s="12">
        <v>6</v>
      </c>
      <c r="K30" s="12">
        <v>6</v>
      </c>
      <c r="L30" s="12">
        <v>7</v>
      </c>
      <c r="M30" s="12">
        <v>0</v>
      </c>
      <c r="N30" s="12">
        <v>0</v>
      </c>
      <c r="O30" s="13">
        <f t="shared" si="0"/>
        <v>83.59375</v>
      </c>
      <c r="P30" s="11" t="str">
        <f t="shared" si="1"/>
        <v>OK</v>
      </c>
    </row>
    <row r="31" spans="1:16" ht="15" customHeight="1" x14ac:dyDescent="0.2">
      <c r="A31" s="11" t="s">
        <v>39</v>
      </c>
      <c r="B31" s="11" t="str">
        <f>IF(Setup!$B$24="","",Setup!$B$24)</f>
        <v>Nanda</v>
      </c>
      <c r="C31" s="11">
        <v>1</v>
      </c>
      <c r="D31" s="11" t="str">
        <f>Setup!$B$5</f>
        <v>527</v>
      </c>
      <c r="E31" s="12">
        <v>7</v>
      </c>
      <c r="F31" s="12">
        <v>5</v>
      </c>
      <c r="G31" s="12">
        <v>8</v>
      </c>
      <c r="H31" s="12">
        <v>7</v>
      </c>
      <c r="I31" s="12">
        <v>8</v>
      </c>
      <c r="J31" s="12">
        <v>7</v>
      </c>
      <c r="K31" s="12">
        <v>9</v>
      </c>
      <c r="L31" s="12">
        <v>8</v>
      </c>
      <c r="M31" s="12">
        <v>0</v>
      </c>
      <c r="N31" s="12">
        <v>0</v>
      </c>
      <c r="O31" s="13">
        <f t="shared" si="0"/>
        <v>91.46875</v>
      </c>
      <c r="P31" s="11" t="str">
        <f t="shared" si="1"/>
        <v>OK</v>
      </c>
    </row>
    <row r="32" spans="1:16" ht="15" customHeight="1" x14ac:dyDescent="0.2">
      <c r="A32" s="11" t="s">
        <v>39</v>
      </c>
      <c r="B32" s="11" t="str">
        <f>IF(Setup!$B$24="","",Setup!$B$24)</f>
        <v>Nanda</v>
      </c>
      <c r="C32" s="11">
        <v>2</v>
      </c>
      <c r="D32" s="11" t="str">
        <f>Setup!$B$6</f>
        <v>381</v>
      </c>
      <c r="E32" s="12">
        <v>7</v>
      </c>
      <c r="F32" s="12">
        <v>6</v>
      </c>
      <c r="G32" s="12">
        <v>4</v>
      </c>
      <c r="H32" s="12">
        <v>6</v>
      </c>
      <c r="I32" s="12">
        <v>6</v>
      </c>
      <c r="J32" s="12">
        <v>7</v>
      </c>
      <c r="K32" s="12">
        <v>5</v>
      </c>
      <c r="L32" s="12">
        <v>7</v>
      </c>
      <c r="M32" s="12">
        <v>0</v>
      </c>
      <c r="N32" s="12">
        <v>0</v>
      </c>
      <c r="O32" s="13">
        <f t="shared" si="0"/>
        <v>84.25</v>
      </c>
      <c r="P32" s="11" t="str">
        <f t="shared" si="1"/>
        <v>OK</v>
      </c>
    </row>
    <row r="33" spans="1:16" ht="15" customHeight="1" x14ac:dyDescent="0.2">
      <c r="A33" s="11" t="s">
        <v>41</v>
      </c>
      <c r="B33" s="11" t="str">
        <f>IF(Setup!$B$25="","",Setup!$B$25)</f>
        <v>Oki</v>
      </c>
      <c r="C33" s="11">
        <v>1</v>
      </c>
      <c r="D33" s="11" t="str">
        <f>Setup!$B$5</f>
        <v>527</v>
      </c>
      <c r="E33" s="12">
        <v>8</v>
      </c>
      <c r="F33" s="12">
        <v>6</v>
      </c>
      <c r="G33" s="12">
        <v>8</v>
      </c>
      <c r="H33" s="12">
        <v>6</v>
      </c>
      <c r="I33" s="12">
        <v>7</v>
      </c>
      <c r="J33" s="12">
        <v>6</v>
      </c>
      <c r="K33" s="12">
        <v>7</v>
      </c>
      <c r="L33" s="12">
        <v>9</v>
      </c>
      <c r="M33" s="12">
        <v>0</v>
      </c>
      <c r="N33" s="12">
        <v>0</v>
      </c>
      <c r="O33" s="13">
        <f t="shared" si="0"/>
        <v>90.15625</v>
      </c>
      <c r="P33" s="11" t="str">
        <f t="shared" si="1"/>
        <v>OK</v>
      </c>
    </row>
    <row r="34" spans="1:16" ht="15" customHeight="1" x14ac:dyDescent="0.2">
      <c r="A34" s="11" t="s">
        <v>41</v>
      </c>
      <c r="B34" s="11" t="str">
        <f>IF(Setup!$B$25="","",Setup!$B$25)</f>
        <v>Oki</v>
      </c>
      <c r="C34" s="11">
        <v>2</v>
      </c>
      <c r="D34" s="11" t="str">
        <f>Setup!$B$6</f>
        <v>381</v>
      </c>
      <c r="E34" s="12">
        <v>6</v>
      </c>
      <c r="F34" s="12">
        <v>8</v>
      </c>
      <c r="G34" s="12">
        <v>8</v>
      </c>
      <c r="H34" s="12">
        <v>5</v>
      </c>
      <c r="I34" s="12">
        <v>6</v>
      </c>
      <c r="J34" s="12">
        <v>5</v>
      </c>
      <c r="K34" s="12">
        <v>7</v>
      </c>
      <c r="L34" s="12">
        <v>7</v>
      </c>
      <c r="M34" s="12">
        <v>0</v>
      </c>
      <c r="N34" s="12">
        <v>0</v>
      </c>
      <c r="O34" s="13">
        <f t="shared" si="0"/>
        <v>86.875</v>
      </c>
      <c r="P34" s="11" t="str">
        <f t="shared" si="1"/>
        <v>OK</v>
      </c>
    </row>
    <row r="35" spans="1:16" ht="15" customHeight="1" x14ac:dyDescent="0.2">
      <c r="A35" s="11" t="s">
        <v>43</v>
      </c>
      <c r="B35" s="11" t="str">
        <f>IF(Setup!$B$26="","",Setup!$B$26)</f>
        <v>Putri</v>
      </c>
      <c r="C35" s="11">
        <v>1</v>
      </c>
      <c r="D35" s="11" t="str">
        <f>Setup!$B$5</f>
        <v>527</v>
      </c>
      <c r="E35" s="12">
        <v>7</v>
      </c>
      <c r="F35" s="12">
        <v>8</v>
      </c>
      <c r="G35" s="12">
        <v>8</v>
      </c>
      <c r="H35" s="12">
        <v>8</v>
      </c>
      <c r="I35" s="12">
        <v>8</v>
      </c>
      <c r="J35" s="12">
        <v>6</v>
      </c>
      <c r="K35" s="12">
        <v>7</v>
      </c>
      <c r="L35" s="12">
        <v>7</v>
      </c>
      <c r="M35" s="12">
        <v>0</v>
      </c>
      <c r="N35" s="12">
        <v>0</v>
      </c>
      <c r="O35" s="13">
        <f t="shared" si="0"/>
        <v>91.46875</v>
      </c>
      <c r="P35" s="11" t="str">
        <f t="shared" si="1"/>
        <v>OK</v>
      </c>
    </row>
    <row r="36" spans="1:16" ht="15" customHeight="1" x14ac:dyDescent="0.2">
      <c r="A36" s="11" t="s">
        <v>43</v>
      </c>
      <c r="B36" s="11" t="str">
        <f>IF(Setup!$B$26="","",Setup!$B$26)</f>
        <v>Putri</v>
      </c>
      <c r="C36" s="11">
        <v>2</v>
      </c>
      <c r="D36" s="11" t="str">
        <f>Setup!$B$6</f>
        <v>381</v>
      </c>
      <c r="E36" s="12">
        <v>7</v>
      </c>
      <c r="F36" s="12">
        <v>6</v>
      </c>
      <c r="G36" s="12">
        <v>5</v>
      </c>
      <c r="H36" s="12">
        <v>6</v>
      </c>
      <c r="I36" s="12">
        <v>5</v>
      </c>
      <c r="J36" s="12">
        <v>7</v>
      </c>
      <c r="K36" s="12">
        <v>4</v>
      </c>
      <c r="L36" s="12">
        <v>6</v>
      </c>
      <c r="M36" s="12">
        <v>0</v>
      </c>
      <c r="N36" s="12">
        <v>0</v>
      </c>
      <c r="O36" s="13">
        <f t="shared" si="0"/>
        <v>82.9375</v>
      </c>
      <c r="P36" s="11" t="str">
        <f t="shared" si="1"/>
        <v>OK</v>
      </c>
    </row>
    <row r="37" spans="1:16" ht="15" customHeight="1" x14ac:dyDescent="0.2">
      <c r="A37" s="11" t="s">
        <v>45</v>
      </c>
      <c r="B37" s="11" t="str">
        <f>IF(Setup!$B$27="","",Setup!$B$27)</f>
        <v>Raka</v>
      </c>
      <c r="C37" s="11">
        <v>1</v>
      </c>
      <c r="D37" s="11" t="str">
        <f>Setup!$B$5</f>
        <v>527</v>
      </c>
      <c r="E37" s="12">
        <v>6</v>
      </c>
      <c r="F37" s="12">
        <v>6</v>
      </c>
      <c r="G37" s="12">
        <v>7</v>
      </c>
      <c r="H37" s="12">
        <v>8</v>
      </c>
      <c r="I37" s="12">
        <v>7</v>
      </c>
      <c r="J37" s="12">
        <v>9</v>
      </c>
      <c r="K37" s="12">
        <v>6</v>
      </c>
      <c r="L37" s="12">
        <v>6</v>
      </c>
      <c r="M37" s="12">
        <v>0</v>
      </c>
      <c r="N37" s="12">
        <v>0</v>
      </c>
      <c r="O37" s="13">
        <f t="shared" ref="O37:O64" si="2">IF(COUNT(E37:L37)=8,0.65625*SUM(E37:L37)+52.75-2*N(M37)-4*N(N37),"")</f>
        <v>88.84375</v>
      </c>
      <c r="P37" s="11" t="str">
        <f t="shared" ref="P37:P64" si="3">IF(COUNT(E37:N37)=0,"kosong",IF(COUNT(E37:L37)&lt;8,"belum lengkap","OK"))</f>
        <v>OK</v>
      </c>
    </row>
    <row r="38" spans="1:16" ht="15" customHeight="1" x14ac:dyDescent="0.2">
      <c r="A38" s="11" t="s">
        <v>45</v>
      </c>
      <c r="B38" s="11" t="str">
        <f>IF(Setup!$B$27="","",Setup!$B$27)</f>
        <v>Raka</v>
      </c>
      <c r="C38" s="11">
        <v>2</v>
      </c>
      <c r="D38" s="11" t="str">
        <f>Setup!$B$6</f>
        <v>381</v>
      </c>
      <c r="E38" s="12">
        <v>8</v>
      </c>
      <c r="F38" s="12">
        <v>4</v>
      </c>
      <c r="G38" s="12">
        <v>5</v>
      </c>
      <c r="H38" s="12">
        <v>4</v>
      </c>
      <c r="I38" s="12">
        <v>6</v>
      </c>
      <c r="J38" s="12">
        <v>6</v>
      </c>
      <c r="K38" s="12">
        <v>4</v>
      </c>
      <c r="L38" s="12">
        <v>4</v>
      </c>
      <c r="M38" s="12">
        <v>0</v>
      </c>
      <c r="N38" s="12">
        <v>0</v>
      </c>
      <c r="O38" s="13">
        <f t="shared" si="2"/>
        <v>79.65625</v>
      </c>
      <c r="P38" s="11" t="str">
        <f t="shared" si="3"/>
        <v>OK</v>
      </c>
    </row>
    <row r="39" spans="1:16" ht="15" customHeight="1" x14ac:dyDescent="0.2">
      <c r="A39" s="11" t="s">
        <v>47</v>
      </c>
      <c r="B39" s="11" t="str">
        <f>IF(Setup!$B$28="","",Setup!$B$28)</f>
        <v>Sari</v>
      </c>
      <c r="C39" s="11">
        <v>1</v>
      </c>
      <c r="D39" s="11" t="str">
        <f>Setup!$B$5</f>
        <v>527</v>
      </c>
      <c r="E39" s="12">
        <v>6</v>
      </c>
      <c r="F39" s="12">
        <v>6</v>
      </c>
      <c r="G39" s="12">
        <v>8</v>
      </c>
      <c r="H39" s="12">
        <v>7</v>
      </c>
      <c r="I39" s="12">
        <v>8</v>
      </c>
      <c r="J39" s="12">
        <v>9</v>
      </c>
      <c r="K39" s="12">
        <v>9</v>
      </c>
      <c r="L39" s="12">
        <v>7</v>
      </c>
      <c r="M39" s="12">
        <v>0</v>
      </c>
      <c r="N39" s="12">
        <v>0</v>
      </c>
      <c r="O39" s="13">
        <f t="shared" si="2"/>
        <v>92.125</v>
      </c>
      <c r="P39" s="11" t="str">
        <f t="shared" si="3"/>
        <v>OK</v>
      </c>
    </row>
    <row r="40" spans="1:16" ht="15" customHeight="1" x14ac:dyDescent="0.2">
      <c r="A40" s="11" t="s">
        <v>47</v>
      </c>
      <c r="B40" s="11" t="str">
        <f>IF(Setup!$B$28="","",Setup!$B$28)</f>
        <v>Sari</v>
      </c>
      <c r="C40" s="11">
        <v>2</v>
      </c>
      <c r="D40" s="11" t="str">
        <f>Setup!$B$6</f>
        <v>381</v>
      </c>
      <c r="E40" s="12">
        <v>6</v>
      </c>
      <c r="F40" s="12">
        <v>5</v>
      </c>
      <c r="G40" s="12">
        <v>6</v>
      </c>
      <c r="H40" s="12">
        <v>6</v>
      </c>
      <c r="I40" s="12">
        <v>7</v>
      </c>
      <c r="J40" s="12">
        <v>5</v>
      </c>
      <c r="K40" s="12">
        <v>5</v>
      </c>
      <c r="L40" s="12">
        <v>5</v>
      </c>
      <c r="M40" s="12">
        <v>0</v>
      </c>
      <c r="N40" s="12">
        <v>0</v>
      </c>
      <c r="O40" s="13">
        <f t="shared" si="2"/>
        <v>82.28125</v>
      </c>
      <c r="P40" s="11" t="str">
        <f t="shared" si="3"/>
        <v>OK</v>
      </c>
    </row>
    <row r="41" spans="1:16" ht="15" customHeight="1" x14ac:dyDescent="0.2">
      <c r="A41" s="11" t="s">
        <v>49</v>
      </c>
      <c r="B41" s="11" t="str">
        <f>IF(Setup!$B$29="","",Setup!$B$29)</f>
        <v>Tio</v>
      </c>
      <c r="C41" s="11">
        <v>1</v>
      </c>
      <c r="D41" s="11" t="str">
        <f>Setup!$B$5</f>
        <v>527</v>
      </c>
      <c r="E41" s="12">
        <v>8</v>
      </c>
      <c r="F41" s="12">
        <v>8</v>
      </c>
      <c r="G41" s="12">
        <v>7</v>
      </c>
      <c r="H41" s="12">
        <v>6</v>
      </c>
      <c r="I41" s="12">
        <v>6</v>
      </c>
      <c r="J41" s="12">
        <v>7</v>
      </c>
      <c r="K41" s="12">
        <v>7</v>
      </c>
      <c r="L41" s="12">
        <v>7</v>
      </c>
      <c r="M41" s="12">
        <v>0</v>
      </c>
      <c r="N41" s="12">
        <v>0</v>
      </c>
      <c r="O41" s="13">
        <f t="shared" si="2"/>
        <v>89.5</v>
      </c>
      <c r="P41" s="11" t="str">
        <f t="shared" si="3"/>
        <v>OK</v>
      </c>
    </row>
    <row r="42" spans="1:16" ht="15" customHeight="1" x14ac:dyDescent="0.2">
      <c r="A42" s="11" t="s">
        <v>49</v>
      </c>
      <c r="B42" s="11" t="str">
        <f>IF(Setup!$B$29="","",Setup!$B$29)</f>
        <v>Tio</v>
      </c>
      <c r="C42" s="11">
        <v>2</v>
      </c>
      <c r="D42" s="11" t="str">
        <f>Setup!$B$6</f>
        <v>381</v>
      </c>
      <c r="E42" s="12">
        <v>5</v>
      </c>
      <c r="F42" s="12">
        <v>6</v>
      </c>
      <c r="G42" s="12">
        <v>7</v>
      </c>
      <c r="H42" s="12">
        <v>4</v>
      </c>
      <c r="I42" s="12">
        <v>4</v>
      </c>
      <c r="J42" s="12">
        <v>5</v>
      </c>
      <c r="K42" s="12">
        <v>5</v>
      </c>
      <c r="L42" s="12">
        <v>5</v>
      </c>
      <c r="M42" s="12">
        <v>1</v>
      </c>
      <c r="N42" s="12">
        <v>0</v>
      </c>
      <c r="O42" s="13">
        <f t="shared" si="2"/>
        <v>77.65625</v>
      </c>
      <c r="P42" s="11" t="str">
        <f t="shared" si="3"/>
        <v>OK</v>
      </c>
    </row>
    <row r="43" spans="1:16" ht="15" customHeight="1" x14ac:dyDescent="0.2">
      <c r="A43" s="11" t="s">
        <v>51</v>
      </c>
      <c r="B43" s="11" t="str">
        <f>IF(Setup!$B$30="","",Setup!$B$30)</f>
        <v>Umi</v>
      </c>
      <c r="C43" s="11">
        <v>1</v>
      </c>
      <c r="D43" s="11" t="str">
        <f>Setup!$B$5</f>
        <v>527</v>
      </c>
      <c r="E43" s="12">
        <v>9</v>
      </c>
      <c r="F43" s="12">
        <v>8</v>
      </c>
      <c r="G43" s="12">
        <v>8</v>
      </c>
      <c r="H43" s="12">
        <v>6</v>
      </c>
      <c r="I43" s="12">
        <v>8</v>
      </c>
      <c r="J43" s="12">
        <v>6</v>
      </c>
      <c r="K43" s="12">
        <v>7</v>
      </c>
      <c r="L43" s="12">
        <v>8</v>
      </c>
      <c r="M43" s="12">
        <v>0</v>
      </c>
      <c r="N43" s="12">
        <v>0</v>
      </c>
      <c r="O43" s="13">
        <f t="shared" si="2"/>
        <v>92.125</v>
      </c>
      <c r="P43" s="11" t="str">
        <f t="shared" si="3"/>
        <v>OK</v>
      </c>
    </row>
    <row r="44" spans="1:16" ht="15" customHeight="1" x14ac:dyDescent="0.2">
      <c r="A44" s="11" t="s">
        <v>51</v>
      </c>
      <c r="B44" s="11" t="str">
        <f>IF(Setup!$B$30="","",Setup!$B$30)</f>
        <v>Umi</v>
      </c>
      <c r="C44" s="11">
        <v>2</v>
      </c>
      <c r="D44" s="11" t="str">
        <f>Setup!$B$6</f>
        <v>381</v>
      </c>
      <c r="E44" s="12">
        <v>7</v>
      </c>
      <c r="F44" s="12">
        <v>6</v>
      </c>
      <c r="G44" s="12">
        <v>4</v>
      </c>
      <c r="H44" s="12">
        <v>7</v>
      </c>
      <c r="I44" s="12">
        <v>6</v>
      </c>
      <c r="J44" s="12">
        <v>3</v>
      </c>
      <c r="K44" s="12">
        <v>6</v>
      </c>
      <c r="L44" s="12">
        <v>5</v>
      </c>
      <c r="M44" s="12">
        <v>0</v>
      </c>
      <c r="N44" s="12">
        <v>0</v>
      </c>
      <c r="O44" s="13">
        <f t="shared" si="2"/>
        <v>81.625</v>
      </c>
      <c r="P44" s="11" t="str">
        <f t="shared" si="3"/>
        <v>OK</v>
      </c>
    </row>
    <row r="45" spans="1:16" ht="15" customHeight="1" x14ac:dyDescent="0.2">
      <c r="A45" s="11" t="s">
        <v>53</v>
      </c>
      <c r="B45" s="11" t="str">
        <f>IF(Setup!$B$31="","",Setup!$B$31)</f>
        <v>Vina</v>
      </c>
      <c r="C45" s="11">
        <v>1</v>
      </c>
      <c r="D45" s="11" t="str">
        <f>Setup!$B$5</f>
        <v>527</v>
      </c>
      <c r="E45" s="12">
        <v>7</v>
      </c>
      <c r="F45" s="12">
        <v>9</v>
      </c>
      <c r="G45" s="12">
        <v>8</v>
      </c>
      <c r="H45" s="12">
        <v>7</v>
      </c>
      <c r="I45" s="12">
        <v>7</v>
      </c>
      <c r="J45" s="12">
        <v>6</v>
      </c>
      <c r="K45" s="12">
        <v>8</v>
      </c>
      <c r="L45" s="12">
        <v>7</v>
      </c>
      <c r="M45" s="12">
        <v>1</v>
      </c>
      <c r="N45" s="12">
        <v>0</v>
      </c>
      <c r="O45" s="13">
        <f t="shared" si="2"/>
        <v>89.46875</v>
      </c>
      <c r="P45" s="11" t="str">
        <f t="shared" si="3"/>
        <v>OK</v>
      </c>
    </row>
    <row r="46" spans="1:16" ht="15" customHeight="1" x14ac:dyDescent="0.2">
      <c r="A46" s="11" t="s">
        <v>53</v>
      </c>
      <c r="B46" s="11" t="str">
        <f>IF(Setup!$B$31="","",Setup!$B$31)</f>
        <v>Vina</v>
      </c>
      <c r="C46" s="11">
        <v>2</v>
      </c>
      <c r="D46" s="11" t="str">
        <f>Setup!$B$6</f>
        <v>381</v>
      </c>
      <c r="E46" s="12">
        <v>4</v>
      </c>
      <c r="F46" s="12">
        <v>4</v>
      </c>
      <c r="G46" s="12">
        <v>6</v>
      </c>
      <c r="H46" s="12">
        <v>6</v>
      </c>
      <c r="I46" s="12">
        <v>6</v>
      </c>
      <c r="J46" s="12">
        <v>5</v>
      </c>
      <c r="K46" s="12">
        <v>6</v>
      </c>
      <c r="L46" s="12">
        <v>4</v>
      </c>
      <c r="M46" s="12">
        <v>0</v>
      </c>
      <c r="N46" s="12">
        <v>0</v>
      </c>
      <c r="O46" s="13">
        <f t="shared" si="2"/>
        <v>79.65625</v>
      </c>
      <c r="P46" s="11" t="str">
        <f t="shared" si="3"/>
        <v>OK</v>
      </c>
    </row>
    <row r="47" spans="1:16" ht="15" customHeight="1" x14ac:dyDescent="0.2">
      <c r="A47" s="11" t="s">
        <v>55</v>
      </c>
      <c r="B47" s="11" t="str">
        <f>IF(Setup!$B$32="","",Setup!$B$32)</f>
        <v>Wahyu</v>
      </c>
      <c r="C47" s="11">
        <v>1</v>
      </c>
      <c r="D47" s="11" t="str">
        <f>Setup!$B$5</f>
        <v>527</v>
      </c>
      <c r="E47" s="12">
        <v>7</v>
      </c>
      <c r="F47" s="12">
        <v>6</v>
      </c>
      <c r="G47" s="12">
        <v>7</v>
      </c>
      <c r="H47" s="12">
        <v>7</v>
      </c>
      <c r="I47" s="12">
        <v>8</v>
      </c>
      <c r="J47" s="12">
        <v>6</v>
      </c>
      <c r="K47" s="12">
        <v>7</v>
      </c>
      <c r="L47" s="12">
        <v>7</v>
      </c>
      <c r="M47" s="12">
        <v>0</v>
      </c>
      <c r="N47" s="12">
        <v>0</v>
      </c>
      <c r="O47" s="13">
        <f t="shared" si="2"/>
        <v>88.84375</v>
      </c>
      <c r="P47" s="11" t="str">
        <f t="shared" si="3"/>
        <v>OK</v>
      </c>
    </row>
    <row r="48" spans="1:16" ht="15" customHeight="1" x14ac:dyDescent="0.2">
      <c r="A48" s="11" t="s">
        <v>55</v>
      </c>
      <c r="B48" s="11" t="str">
        <f>IF(Setup!$B$32="","",Setup!$B$32)</f>
        <v>Wahyu</v>
      </c>
      <c r="C48" s="11">
        <v>2</v>
      </c>
      <c r="D48" s="11" t="str">
        <f>Setup!$B$6</f>
        <v>381</v>
      </c>
      <c r="E48" s="12">
        <v>6</v>
      </c>
      <c r="F48" s="12">
        <v>3</v>
      </c>
      <c r="G48" s="12">
        <v>4</v>
      </c>
      <c r="H48" s="12">
        <v>4</v>
      </c>
      <c r="I48" s="12">
        <v>7</v>
      </c>
      <c r="J48" s="12">
        <v>4</v>
      </c>
      <c r="K48" s="12">
        <v>7</v>
      </c>
      <c r="L48" s="12">
        <v>6</v>
      </c>
      <c r="M48" s="12">
        <v>0</v>
      </c>
      <c r="N48" s="12">
        <v>0</v>
      </c>
      <c r="O48" s="13">
        <f t="shared" si="2"/>
        <v>79.65625</v>
      </c>
      <c r="P48" s="11" t="str">
        <f t="shared" si="3"/>
        <v>OK</v>
      </c>
    </row>
    <row r="49" spans="1:16" ht="15" customHeight="1" x14ac:dyDescent="0.2">
      <c r="A49" s="11" t="s">
        <v>57</v>
      </c>
      <c r="B49" s="11" t="str">
        <f>IF(Setup!$B$33="","",Setup!$B$33)</f>
        <v>Yoga</v>
      </c>
      <c r="C49" s="11">
        <v>1</v>
      </c>
      <c r="D49" s="11" t="str">
        <f>Setup!$B$5</f>
        <v>527</v>
      </c>
      <c r="E49" s="12">
        <v>5</v>
      </c>
      <c r="F49" s="12">
        <v>9</v>
      </c>
      <c r="G49" s="12">
        <v>8</v>
      </c>
      <c r="H49" s="12">
        <v>9</v>
      </c>
      <c r="I49" s="12">
        <v>7</v>
      </c>
      <c r="J49" s="12">
        <v>9</v>
      </c>
      <c r="K49" s="12">
        <v>9</v>
      </c>
      <c r="L49" s="12">
        <v>9</v>
      </c>
      <c r="M49" s="12">
        <v>0</v>
      </c>
      <c r="N49" s="12">
        <v>0</v>
      </c>
      <c r="O49" s="13">
        <f t="shared" si="2"/>
        <v>95.40625</v>
      </c>
      <c r="P49" s="11" t="str">
        <f t="shared" si="3"/>
        <v>OK</v>
      </c>
    </row>
    <row r="50" spans="1:16" ht="15" customHeight="1" x14ac:dyDescent="0.2">
      <c r="A50" s="11" t="s">
        <v>57</v>
      </c>
      <c r="B50" s="11" t="str">
        <f>IF(Setup!$B$33="","",Setup!$B$33)</f>
        <v>Yoga</v>
      </c>
      <c r="C50" s="11">
        <v>2</v>
      </c>
      <c r="D50" s="11" t="str">
        <f>Setup!$B$6</f>
        <v>381</v>
      </c>
      <c r="E50" s="12">
        <v>6</v>
      </c>
      <c r="F50" s="12">
        <v>7</v>
      </c>
      <c r="G50" s="12">
        <v>6</v>
      </c>
      <c r="H50" s="12">
        <v>5</v>
      </c>
      <c r="I50" s="12">
        <v>6</v>
      </c>
      <c r="J50" s="12">
        <v>6</v>
      </c>
      <c r="K50" s="12">
        <v>6</v>
      </c>
      <c r="L50" s="12">
        <v>5</v>
      </c>
      <c r="M50" s="12">
        <v>0</v>
      </c>
      <c r="N50" s="12">
        <v>0</v>
      </c>
      <c r="O50" s="13">
        <f t="shared" si="2"/>
        <v>83.59375</v>
      </c>
      <c r="P50" s="11" t="str">
        <f t="shared" si="3"/>
        <v>OK</v>
      </c>
    </row>
    <row r="51" spans="1:16" ht="15" customHeight="1" x14ac:dyDescent="0.2">
      <c r="A51" s="11" t="s">
        <v>59</v>
      </c>
      <c r="B51" s="11" t="str">
        <f>IF(Setup!$B$34="","",Setup!$B$34)</f>
        <v>Zahra</v>
      </c>
      <c r="C51" s="11">
        <v>1</v>
      </c>
      <c r="D51" s="11" t="str">
        <f>Setup!$B$5</f>
        <v>527</v>
      </c>
      <c r="E51" s="12">
        <v>8</v>
      </c>
      <c r="F51" s="12">
        <v>7</v>
      </c>
      <c r="G51" s="12">
        <v>7</v>
      </c>
      <c r="H51" s="12">
        <v>9</v>
      </c>
      <c r="I51" s="12">
        <v>8</v>
      </c>
      <c r="J51" s="12">
        <v>8</v>
      </c>
      <c r="K51" s="12">
        <v>7</v>
      </c>
      <c r="L51" s="12">
        <v>9</v>
      </c>
      <c r="M51" s="12">
        <v>0</v>
      </c>
      <c r="N51" s="12">
        <v>0</v>
      </c>
      <c r="O51" s="13">
        <f t="shared" si="2"/>
        <v>94.09375</v>
      </c>
      <c r="P51" s="11" t="str">
        <f t="shared" si="3"/>
        <v>OK</v>
      </c>
    </row>
    <row r="52" spans="1:16" ht="15" customHeight="1" x14ac:dyDescent="0.2">
      <c r="A52" s="11" t="s">
        <v>59</v>
      </c>
      <c r="B52" s="11" t="str">
        <f>IF(Setup!$B$34="","",Setup!$B$34)</f>
        <v>Zahra</v>
      </c>
      <c r="C52" s="11">
        <v>2</v>
      </c>
      <c r="D52" s="11" t="str">
        <f>Setup!$B$6</f>
        <v>381</v>
      </c>
      <c r="E52" s="12">
        <v>6</v>
      </c>
      <c r="F52" s="12">
        <v>6</v>
      </c>
      <c r="G52" s="12">
        <v>5</v>
      </c>
      <c r="H52" s="12">
        <v>4</v>
      </c>
      <c r="I52" s="12">
        <v>6</v>
      </c>
      <c r="J52" s="12">
        <v>5</v>
      </c>
      <c r="K52" s="12">
        <v>6</v>
      </c>
      <c r="L52" s="12">
        <v>6</v>
      </c>
      <c r="M52" s="12">
        <v>0</v>
      </c>
      <c r="N52" s="12">
        <v>0</v>
      </c>
      <c r="O52" s="13">
        <f t="shared" si="2"/>
        <v>81.625</v>
      </c>
      <c r="P52" s="11" t="str">
        <f t="shared" si="3"/>
        <v>OK</v>
      </c>
    </row>
    <row r="53" spans="1:16" ht="15" customHeight="1" x14ac:dyDescent="0.2">
      <c r="A53" s="11" t="s">
        <v>61</v>
      </c>
      <c r="B53" s="11" t="str">
        <f>IF(Setup!$B$35="","",Setup!$B$35)</f>
        <v>Arif</v>
      </c>
      <c r="C53" s="11">
        <v>1</v>
      </c>
      <c r="D53" s="11" t="str">
        <f>Setup!$B$5</f>
        <v>527</v>
      </c>
      <c r="E53" s="12">
        <v>7</v>
      </c>
      <c r="F53" s="12">
        <v>7</v>
      </c>
      <c r="G53" s="12">
        <v>7</v>
      </c>
      <c r="H53" s="12">
        <v>9</v>
      </c>
      <c r="I53" s="12">
        <v>8</v>
      </c>
      <c r="J53" s="12">
        <v>8</v>
      </c>
      <c r="K53" s="12">
        <v>8</v>
      </c>
      <c r="L53" s="12">
        <v>6</v>
      </c>
      <c r="M53" s="12">
        <v>0</v>
      </c>
      <c r="N53" s="12">
        <v>0</v>
      </c>
      <c r="O53" s="13">
        <f t="shared" si="2"/>
        <v>92.125</v>
      </c>
      <c r="P53" s="11" t="str">
        <f t="shared" si="3"/>
        <v>OK</v>
      </c>
    </row>
    <row r="54" spans="1:16" ht="15" customHeight="1" x14ac:dyDescent="0.2">
      <c r="A54" s="11" t="s">
        <v>61</v>
      </c>
      <c r="B54" s="11" t="str">
        <f>IF(Setup!$B$35="","",Setup!$B$35)</f>
        <v>Arif</v>
      </c>
      <c r="C54" s="11">
        <v>2</v>
      </c>
      <c r="D54" s="11" t="str">
        <f>Setup!$B$6</f>
        <v>381</v>
      </c>
      <c r="E54" s="12">
        <v>6</v>
      </c>
      <c r="F54" s="12">
        <v>5</v>
      </c>
      <c r="G54" s="12">
        <v>6</v>
      </c>
      <c r="H54" s="12">
        <v>6</v>
      </c>
      <c r="I54" s="12">
        <v>6</v>
      </c>
      <c r="J54" s="12">
        <v>6</v>
      </c>
      <c r="K54" s="12">
        <v>6</v>
      </c>
      <c r="L54" s="12">
        <v>5</v>
      </c>
      <c r="M54" s="12">
        <v>0</v>
      </c>
      <c r="N54" s="12">
        <v>0</v>
      </c>
      <c r="O54" s="13">
        <f t="shared" si="2"/>
        <v>82.9375</v>
      </c>
      <c r="P54" s="11" t="str">
        <f t="shared" si="3"/>
        <v>OK</v>
      </c>
    </row>
    <row r="55" spans="1:16" ht="15" customHeight="1" x14ac:dyDescent="0.2">
      <c r="A55" s="11" t="s">
        <v>63</v>
      </c>
      <c r="B55" s="11" t="str">
        <f>IF(Setup!$B$36="","",Setup!$B$36)</f>
        <v>Bella</v>
      </c>
      <c r="C55" s="11">
        <v>1</v>
      </c>
      <c r="D55" s="11" t="str">
        <f>Setup!$B$5</f>
        <v>527</v>
      </c>
      <c r="E55" s="12">
        <v>9</v>
      </c>
      <c r="F55" s="12">
        <v>6</v>
      </c>
      <c r="G55" s="12">
        <v>6</v>
      </c>
      <c r="H55" s="12">
        <v>7</v>
      </c>
      <c r="I55" s="12">
        <v>8</v>
      </c>
      <c r="J55" s="12">
        <v>7</v>
      </c>
      <c r="K55" s="12">
        <v>8</v>
      </c>
      <c r="L55" s="12">
        <v>8</v>
      </c>
      <c r="M55" s="12">
        <v>0</v>
      </c>
      <c r="N55" s="12">
        <v>0</v>
      </c>
      <c r="O55" s="13">
        <f t="shared" si="2"/>
        <v>91.46875</v>
      </c>
      <c r="P55" s="11" t="str">
        <f t="shared" si="3"/>
        <v>OK</v>
      </c>
    </row>
    <row r="56" spans="1:16" ht="15" customHeight="1" x14ac:dyDescent="0.2">
      <c r="A56" s="11" t="s">
        <v>63</v>
      </c>
      <c r="B56" s="11" t="str">
        <f>IF(Setup!$B$36="","",Setup!$B$36)</f>
        <v>Bella</v>
      </c>
      <c r="C56" s="11">
        <v>2</v>
      </c>
      <c r="D56" s="11" t="str">
        <f>Setup!$B$6</f>
        <v>381</v>
      </c>
      <c r="E56" s="12">
        <v>6</v>
      </c>
      <c r="F56" s="12">
        <v>7</v>
      </c>
      <c r="G56" s="12">
        <v>5</v>
      </c>
      <c r="H56" s="12">
        <v>5</v>
      </c>
      <c r="I56" s="12">
        <v>7</v>
      </c>
      <c r="J56" s="12">
        <v>6</v>
      </c>
      <c r="K56" s="12">
        <v>6</v>
      </c>
      <c r="L56" s="12">
        <v>5</v>
      </c>
      <c r="M56" s="12">
        <v>0</v>
      </c>
      <c r="N56" s="12">
        <v>0</v>
      </c>
      <c r="O56" s="13">
        <f t="shared" si="2"/>
        <v>83.59375</v>
      </c>
      <c r="P56" s="11" t="str">
        <f t="shared" si="3"/>
        <v>OK</v>
      </c>
    </row>
    <row r="57" spans="1:16" ht="15" customHeight="1" x14ac:dyDescent="0.2">
      <c r="A57" s="11" t="s">
        <v>65</v>
      </c>
      <c r="B57" s="11" t="str">
        <f>IF(Setup!$B$37="","",Setup!$B$37)</f>
        <v>Dimas</v>
      </c>
      <c r="C57" s="11">
        <v>1</v>
      </c>
      <c r="D57" s="11" t="str">
        <f>Setup!$B$5</f>
        <v>527</v>
      </c>
      <c r="E57" s="12">
        <v>7</v>
      </c>
      <c r="F57" s="12">
        <v>8</v>
      </c>
      <c r="G57" s="12">
        <v>9</v>
      </c>
      <c r="H57" s="12">
        <v>8</v>
      </c>
      <c r="I57" s="12">
        <v>7</v>
      </c>
      <c r="J57" s="12">
        <v>7</v>
      </c>
      <c r="K57" s="12">
        <v>7</v>
      </c>
      <c r="L57" s="12">
        <v>5</v>
      </c>
      <c r="M57" s="12">
        <v>0</v>
      </c>
      <c r="N57" s="12">
        <v>0</v>
      </c>
      <c r="O57" s="13">
        <f t="shared" si="2"/>
        <v>90.8125</v>
      </c>
      <c r="P57" s="11" t="str">
        <f t="shared" si="3"/>
        <v>OK</v>
      </c>
    </row>
    <row r="58" spans="1:16" ht="15" customHeight="1" x14ac:dyDescent="0.2">
      <c r="A58" s="11" t="s">
        <v>65</v>
      </c>
      <c r="B58" s="11" t="str">
        <f>IF(Setup!$B$37="","",Setup!$B$37)</f>
        <v>Dimas</v>
      </c>
      <c r="C58" s="11">
        <v>2</v>
      </c>
      <c r="D58" s="11" t="str">
        <f>Setup!$B$6</f>
        <v>381</v>
      </c>
      <c r="E58" s="12">
        <v>5</v>
      </c>
      <c r="F58" s="12">
        <v>4</v>
      </c>
      <c r="G58" s="12">
        <v>4</v>
      </c>
      <c r="H58" s="12">
        <v>5</v>
      </c>
      <c r="I58" s="12">
        <v>4</v>
      </c>
      <c r="J58" s="12">
        <v>7</v>
      </c>
      <c r="K58" s="12">
        <v>5</v>
      </c>
      <c r="L58" s="12">
        <v>5</v>
      </c>
      <c r="M58" s="12">
        <v>0</v>
      </c>
      <c r="N58" s="12">
        <v>0</v>
      </c>
      <c r="O58" s="13">
        <f t="shared" si="2"/>
        <v>78.34375</v>
      </c>
      <c r="P58" s="11" t="str">
        <f t="shared" si="3"/>
        <v>OK</v>
      </c>
    </row>
    <row r="59" spans="1:16" ht="15" customHeight="1" x14ac:dyDescent="0.2">
      <c r="A59" s="11" t="s">
        <v>67</v>
      </c>
      <c r="B59" s="11" t="str">
        <f>IF(Setup!$B$38="","",Setup!$B$38)</f>
        <v>Fitri</v>
      </c>
      <c r="C59" s="11">
        <v>1</v>
      </c>
      <c r="D59" s="11" t="str">
        <f>Setup!$B$5</f>
        <v>527</v>
      </c>
      <c r="E59" s="12">
        <v>9</v>
      </c>
      <c r="F59" s="12">
        <v>8</v>
      </c>
      <c r="G59" s="12">
        <v>8</v>
      </c>
      <c r="H59" s="12">
        <v>8</v>
      </c>
      <c r="I59" s="12">
        <v>8</v>
      </c>
      <c r="J59" s="12">
        <v>8</v>
      </c>
      <c r="K59" s="12">
        <v>6</v>
      </c>
      <c r="L59" s="12">
        <v>7</v>
      </c>
      <c r="M59" s="12">
        <v>0</v>
      </c>
      <c r="N59" s="12">
        <v>0</v>
      </c>
      <c r="O59" s="13">
        <f t="shared" si="2"/>
        <v>93.4375</v>
      </c>
      <c r="P59" s="11" t="str">
        <f t="shared" si="3"/>
        <v>OK</v>
      </c>
    </row>
    <row r="60" spans="1:16" ht="15" customHeight="1" x14ac:dyDescent="0.2">
      <c r="A60" s="11" t="s">
        <v>67</v>
      </c>
      <c r="B60" s="11" t="str">
        <f>IF(Setup!$B$38="","",Setup!$B$38)</f>
        <v>Fitri</v>
      </c>
      <c r="C60" s="11">
        <v>2</v>
      </c>
      <c r="D60" s="11" t="str">
        <f>Setup!$B$6</f>
        <v>381</v>
      </c>
      <c r="E60" s="12">
        <v>7</v>
      </c>
      <c r="F60" s="12">
        <v>5</v>
      </c>
      <c r="G60" s="12">
        <v>8</v>
      </c>
      <c r="H60" s="12">
        <v>5</v>
      </c>
      <c r="I60" s="12">
        <v>4</v>
      </c>
      <c r="J60" s="12">
        <v>4</v>
      </c>
      <c r="K60" s="12">
        <v>7</v>
      </c>
      <c r="L60" s="12">
        <v>6</v>
      </c>
      <c r="M60" s="12">
        <v>0</v>
      </c>
      <c r="N60" s="12">
        <v>0</v>
      </c>
      <c r="O60" s="13">
        <f t="shared" si="2"/>
        <v>82.9375</v>
      </c>
      <c r="P60" s="11" t="str">
        <f t="shared" si="3"/>
        <v>OK</v>
      </c>
    </row>
    <row r="61" spans="1:16" ht="15" customHeight="1" x14ac:dyDescent="0.2">
      <c r="A61" s="11" t="s">
        <v>69</v>
      </c>
      <c r="B61" s="11" t="str">
        <f>IF(Setup!$B$39="","",Setup!$B$39)</f>
        <v>Gilang</v>
      </c>
      <c r="C61" s="11">
        <v>1</v>
      </c>
      <c r="D61" s="11" t="str">
        <f>Setup!$B$5</f>
        <v>527</v>
      </c>
      <c r="E61" s="12">
        <v>9</v>
      </c>
      <c r="F61" s="12">
        <v>7</v>
      </c>
      <c r="G61" s="12">
        <v>9</v>
      </c>
      <c r="H61" s="12">
        <v>8</v>
      </c>
      <c r="I61" s="12">
        <v>8</v>
      </c>
      <c r="J61" s="12">
        <v>8</v>
      </c>
      <c r="K61" s="12">
        <v>7</v>
      </c>
      <c r="L61" s="12">
        <v>7</v>
      </c>
      <c r="M61" s="12">
        <v>1</v>
      </c>
      <c r="N61" s="12">
        <v>0</v>
      </c>
      <c r="O61" s="13">
        <f t="shared" si="2"/>
        <v>92.09375</v>
      </c>
      <c r="P61" s="11" t="str">
        <f t="shared" si="3"/>
        <v>OK</v>
      </c>
    </row>
    <row r="62" spans="1:16" ht="15" customHeight="1" x14ac:dyDescent="0.2">
      <c r="A62" s="11" t="s">
        <v>69</v>
      </c>
      <c r="B62" s="11" t="str">
        <f>IF(Setup!$B$39="","",Setup!$B$39)</f>
        <v>Gilang</v>
      </c>
      <c r="C62" s="11">
        <v>2</v>
      </c>
      <c r="D62" s="11" t="str">
        <f>Setup!$B$6</f>
        <v>381</v>
      </c>
      <c r="E62" s="12">
        <v>6</v>
      </c>
      <c r="F62" s="12">
        <v>5</v>
      </c>
      <c r="G62" s="12">
        <v>5</v>
      </c>
      <c r="H62" s="12">
        <v>5</v>
      </c>
      <c r="I62" s="12">
        <v>6</v>
      </c>
      <c r="J62" s="12">
        <v>7</v>
      </c>
      <c r="K62" s="12">
        <v>5</v>
      </c>
      <c r="L62" s="12">
        <v>6</v>
      </c>
      <c r="M62" s="12">
        <v>0</v>
      </c>
      <c r="N62" s="12">
        <v>0</v>
      </c>
      <c r="O62" s="13">
        <f t="shared" si="2"/>
        <v>82.28125</v>
      </c>
      <c r="P62" s="11" t="str">
        <f t="shared" si="3"/>
        <v>OK</v>
      </c>
    </row>
    <row r="63" spans="1:16" ht="15" customHeight="1" x14ac:dyDescent="0.2">
      <c r="A63" s="11" t="s">
        <v>71</v>
      </c>
      <c r="B63" s="11" t="str">
        <f>IF(Setup!$B$40="","",Setup!$B$40)</f>
        <v>Intan</v>
      </c>
      <c r="C63" s="11">
        <v>1</v>
      </c>
      <c r="D63" s="11" t="str">
        <f>Setup!$B$5</f>
        <v>527</v>
      </c>
      <c r="E63" s="12">
        <v>9</v>
      </c>
      <c r="F63" s="12">
        <v>7</v>
      </c>
      <c r="G63" s="12">
        <v>4</v>
      </c>
      <c r="H63" s="12">
        <v>5</v>
      </c>
      <c r="I63" s="12">
        <v>8</v>
      </c>
      <c r="J63" s="12">
        <v>9</v>
      </c>
      <c r="K63" s="12">
        <v>7</v>
      </c>
      <c r="L63" s="12">
        <v>7</v>
      </c>
      <c r="M63" s="12">
        <v>0</v>
      </c>
      <c r="N63" s="12">
        <v>0</v>
      </c>
      <c r="O63" s="13">
        <f t="shared" si="2"/>
        <v>89.5</v>
      </c>
      <c r="P63" s="11" t="str">
        <f t="shared" si="3"/>
        <v>OK</v>
      </c>
    </row>
    <row r="64" spans="1:16" ht="15" customHeight="1" x14ac:dyDescent="0.2">
      <c r="A64" s="11" t="s">
        <v>71</v>
      </c>
      <c r="B64" s="11" t="str">
        <f>IF(Setup!$B$40="","",Setup!$B$40)</f>
        <v>Intan</v>
      </c>
      <c r="C64" s="11">
        <v>2</v>
      </c>
      <c r="D64" s="11" t="str">
        <f>Setup!$B$6</f>
        <v>381</v>
      </c>
      <c r="E64" s="12">
        <v>5</v>
      </c>
      <c r="F64" s="12">
        <v>5</v>
      </c>
      <c r="G64" s="12">
        <v>6</v>
      </c>
      <c r="H64" s="12">
        <v>6</v>
      </c>
      <c r="I64" s="12">
        <v>4</v>
      </c>
      <c r="J64" s="12">
        <v>8</v>
      </c>
      <c r="K64" s="12">
        <v>5</v>
      </c>
      <c r="L64" s="12">
        <v>6</v>
      </c>
      <c r="M64" s="12">
        <v>0</v>
      </c>
      <c r="N64" s="12">
        <v>0</v>
      </c>
      <c r="O64" s="13">
        <f t="shared" si="2"/>
        <v>82.28125</v>
      </c>
      <c r="P64" s="11" t="str">
        <f t="shared" si="3"/>
        <v>OK</v>
      </c>
    </row>
  </sheetData>
  <mergeCells count="8">
    <mergeCell ref="M3:N3"/>
    <mergeCell ref="O3:O4"/>
    <mergeCell ref="P3:P4"/>
    <mergeCell ref="A3:A4"/>
    <mergeCell ref="B3:B4"/>
    <mergeCell ref="C3:C4"/>
    <mergeCell ref="D3:D4"/>
    <mergeCell ref="E3:L3"/>
  </mergeCells>
  <conditionalFormatting sqref="P5:P64">
    <cfRule type="cellIs" dxfId="5" priority="2" operator="equal">
      <formula>"belum lengkap"</formula>
    </cfRule>
  </conditionalFormatting>
  <dataValidations count="2">
    <dataValidation type="whole" showErrorMessage="1" errorTitle="Skor tidak valid" error="Masukkan bilangan bulat 1–9." sqref="E5:L64" xr:uid="{00000000-0002-0000-0200-000000000000}">
      <formula1>1</formula1>
      <formula2>9</formula2>
    </dataValidation>
    <dataValidation type="whole" showErrorMessage="1" errorTitle="Tidak valid" error="Masukkan jumlah cup 0–5." sqref="M5:N64" xr:uid="{00000000-0002-0000-0200-000001000000}">
      <formula1>0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4"/>
  <sheetViews>
    <sheetView tabSelected="1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D26" sqref="D26"/>
    </sheetView>
  </sheetViews>
  <sheetFormatPr baseColWidth="10" defaultColWidth="8.6640625" defaultRowHeight="15" x14ac:dyDescent="0.2"/>
  <cols>
    <col min="1" max="1" width="10" customWidth="1"/>
    <col min="2" max="2" width="20" customWidth="1"/>
    <col min="3" max="3" width="8" customWidth="1"/>
    <col min="4" max="4" width="10" customWidth="1"/>
    <col min="5" max="11" width="11" customWidth="1"/>
    <col min="12" max="12" width="14" customWidth="1"/>
  </cols>
  <sheetData>
    <row r="1" spans="1:12" ht="15.75" customHeight="1" x14ac:dyDescent="0.2">
      <c r="A1" s="4" t="s">
        <v>92</v>
      </c>
    </row>
    <row r="2" spans="1:12" ht="15" customHeight="1" x14ac:dyDescent="0.2">
      <c r="A2" s="5" t="s">
        <v>93</v>
      </c>
    </row>
    <row r="3" spans="1:12" ht="15" customHeight="1" x14ac:dyDescent="0.2">
      <c r="A3" s="25" t="s">
        <v>11</v>
      </c>
      <c r="B3" s="25" t="s">
        <v>75</v>
      </c>
      <c r="C3" s="25" t="s">
        <v>76</v>
      </c>
      <c r="D3" s="25" t="s">
        <v>77</v>
      </c>
      <c r="E3" s="23" t="s">
        <v>94</v>
      </c>
      <c r="F3" s="23"/>
      <c r="G3" s="23"/>
      <c r="H3" s="23"/>
      <c r="I3" s="23"/>
      <c r="J3" s="23"/>
      <c r="K3" s="23"/>
      <c r="L3" s="24" t="s">
        <v>81</v>
      </c>
    </row>
    <row r="4" spans="1:12" ht="15" customHeight="1" x14ac:dyDescent="0.2">
      <c r="A4" s="25"/>
      <c r="B4" s="25"/>
      <c r="C4" s="25"/>
      <c r="D4" s="25"/>
      <c r="E4" s="10" t="s">
        <v>82</v>
      </c>
      <c r="F4" s="10" t="s">
        <v>83</v>
      </c>
      <c r="G4" s="10" t="s">
        <v>84</v>
      </c>
      <c r="H4" s="10" t="s">
        <v>85</v>
      </c>
      <c r="I4" s="10" t="s">
        <v>86</v>
      </c>
      <c r="J4" s="10" t="s">
        <v>87</v>
      </c>
      <c r="K4" s="10" t="s">
        <v>88</v>
      </c>
      <c r="L4" s="24"/>
    </row>
    <row r="5" spans="1:12" ht="15" customHeight="1" x14ac:dyDescent="0.2">
      <c r="A5" s="11" t="s">
        <v>13</v>
      </c>
      <c r="B5" s="11" t="str">
        <f>IF(Setup!$B$11="","",Setup!$B$11)</f>
        <v>Ayu</v>
      </c>
      <c r="C5" s="11">
        <v>1</v>
      </c>
      <c r="D5" s="11" t="str">
        <f>Setup!$B$5</f>
        <v>527</v>
      </c>
      <c r="E5" s="12">
        <v>7</v>
      </c>
      <c r="F5" s="12">
        <v>10</v>
      </c>
      <c r="G5" s="12">
        <v>7</v>
      </c>
      <c r="H5" s="12">
        <v>7</v>
      </c>
      <c r="I5" s="12">
        <v>11</v>
      </c>
      <c r="J5" s="12">
        <v>4</v>
      </c>
      <c r="K5" s="12">
        <v>7</v>
      </c>
      <c r="L5" s="11" t="str">
        <f t="shared" ref="L5:L36" si="0">IF(COUNT(E5:K5)=0,"kosong",IF(COUNT(E5:K5)&lt;7,"belum lengkap","OK"))</f>
        <v>OK</v>
      </c>
    </row>
    <row r="6" spans="1:12" ht="15" customHeight="1" x14ac:dyDescent="0.2">
      <c r="A6" s="11" t="s">
        <v>13</v>
      </c>
      <c r="B6" s="11" t="str">
        <f>IF(Setup!$B$11="","",Setup!$B$11)</f>
        <v>Ayu</v>
      </c>
      <c r="C6" s="11">
        <v>2</v>
      </c>
      <c r="D6" s="11" t="str">
        <f>Setup!$B$6</f>
        <v>381</v>
      </c>
      <c r="E6" s="12">
        <v>13</v>
      </c>
      <c r="F6" s="12">
        <v>7</v>
      </c>
      <c r="G6" s="12">
        <v>10</v>
      </c>
      <c r="H6" s="12">
        <v>11</v>
      </c>
      <c r="I6" s="12">
        <v>2</v>
      </c>
      <c r="J6" s="12">
        <v>6</v>
      </c>
      <c r="K6" s="12">
        <v>8</v>
      </c>
      <c r="L6" s="11" t="str">
        <f t="shared" si="0"/>
        <v>OK</v>
      </c>
    </row>
    <row r="7" spans="1:12" ht="15" customHeight="1" x14ac:dyDescent="0.2">
      <c r="A7" s="11" t="s">
        <v>15</v>
      </c>
      <c r="B7" s="11" t="str">
        <f>IF(Setup!$B$12="","",Setup!$B$12)</f>
        <v>Bima</v>
      </c>
      <c r="C7" s="11">
        <v>1</v>
      </c>
      <c r="D7" s="11" t="str">
        <f>Setup!$B$5</f>
        <v>527</v>
      </c>
      <c r="E7" s="12">
        <v>6</v>
      </c>
      <c r="F7" s="12">
        <v>7</v>
      </c>
      <c r="G7" s="12">
        <v>10</v>
      </c>
      <c r="H7" s="12">
        <v>7</v>
      </c>
      <c r="I7" s="12">
        <v>11</v>
      </c>
      <c r="J7" s="12">
        <v>8</v>
      </c>
      <c r="K7" s="12">
        <v>10</v>
      </c>
      <c r="L7" s="11" t="str">
        <f t="shared" si="0"/>
        <v>OK</v>
      </c>
    </row>
    <row r="8" spans="1:12" ht="15" customHeight="1" x14ac:dyDescent="0.2">
      <c r="A8" s="11" t="s">
        <v>15</v>
      </c>
      <c r="B8" s="11" t="str">
        <f>IF(Setup!$B$12="","",Setup!$B$12)</f>
        <v>Bima</v>
      </c>
      <c r="C8" s="11">
        <v>2</v>
      </c>
      <c r="D8" s="11" t="str">
        <f>Setup!$B$6</f>
        <v>381</v>
      </c>
      <c r="E8" s="12">
        <v>10</v>
      </c>
      <c r="F8" s="12">
        <v>9</v>
      </c>
      <c r="G8" s="12">
        <v>11</v>
      </c>
      <c r="H8" s="12">
        <v>6</v>
      </c>
      <c r="I8" s="12">
        <v>5</v>
      </c>
      <c r="J8" s="12">
        <v>6</v>
      </c>
      <c r="K8" s="12">
        <v>8</v>
      </c>
      <c r="L8" s="11" t="str">
        <f t="shared" si="0"/>
        <v>OK</v>
      </c>
    </row>
    <row r="9" spans="1:12" ht="15" customHeight="1" x14ac:dyDescent="0.2">
      <c r="A9" s="11" t="s">
        <v>17</v>
      </c>
      <c r="B9" s="11" t="str">
        <f>IF(Setup!$B$13="","",Setup!$B$13)</f>
        <v>Citra</v>
      </c>
      <c r="C9" s="11">
        <v>1</v>
      </c>
      <c r="D9" s="11" t="str">
        <f>Setup!$B$5</f>
        <v>527</v>
      </c>
      <c r="E9" s="12">
        <v>11</v>
      </c>
      <c r="F9" s="12">
        <v>5</v>
      </c>
      <c r="G9" s="12">
        <v>9</v>
      </c>
      <c r="H9" s="12">
        <v>8</v>
      </c>
      <c r="I9" s="12">
        <v>10</v>
      </c>
      <c r="J9" s="12">
        <v>8</v>
      </c>
      <c r="K9" s="12">
        <v>6</v>
      </c>
      <c r="L9" s="11" t="str">
        <f t="shared" si="0"/>
        <v>OK</v>
      </c>
    </row>
    <row r="10" spans="1:12" ht="15" customHeight="1" x14ac:dyDescent="0.2">
      <c r="A10" s="11" t="s">
        <v>17</v>
      </c>
      <c r="B10" s="11" t="str">
        <f>IF(Setup!$B$13="","",Setup!$B$13)</f>
        <v>Citra</v>
      </c>
      <c r="C10" s="11">
        <v>2</v>
      </c>
      <c r="D10" s="11" t="str">
        <f>Setup!$B$6</f>
        <v>381</v>
      </c>
      <c r="E10" s="12">
        <v>8</v>
      </c>
      <c r="F10" s="12">
        <v>8</v>
      </c>
      <c r="G10" s="12">
        <v>7</v>
      </c>
      <c r="H10" s="12">
        <v>6</v>
      </c>
      <c r="I10" s="12">
        <v>4</v>
      </c>
      <c r="J10" s="12">
        <v>8</v>
      </c>
      <c r="K10" s="12">
        <v>8</v>
      </c>
      <c r="L10" s="11" t="str">
        <f t="shared" si="0"/>
        <v>OK</v>
      </c>
    </row>
    <row r="11" spans="1:12" ht="15" customHeight="1" x14ac:dyDescent="0.2">
      <c r="A11" s="11" t="s">
        <v>19</v>
      </c>
      <c r="B11" s="11" t="str">
        <f>IF(Setup!$B$14="","",Setup!$B$14)</f>
        <v>Dewi</v>
      </c>
      <c r="C11" s="11">
        <v>1</v>
      </c>
      <c r="D11" s="11" t="str">
        <f>Setup!$B$5</f>
        <v>527</v>
      </c>
      <c r="E11" s="12">
        <v>8</v>
      </c>
      <c r="F11" s="12">
        <v>7</v>
      </c>
      <c r="G11" s="12">
        <v>12</v>
      </c>
      <c r="H11" s="12">
        <v>6</v>
      </c>
      <c r="I11" s="12">
        <v>12</v>
      </c>
      <c r="J11" s="12">
        <v>8</v>
      </c>
      <c r="K11" s="12">
        <v>9</v>
      </c>
      <c r="L11" s="11" t="str">
        <f t="shared" si="0"/>
        <v>OK</v>
      </c>
    </row>
    <row r="12" spans="1:12" ht="15" customHeight="1" x14ac:dyDescent="0.2">
      <c r="A12" s="11" t="s">
        <v>19</v>
      </c>
      <c r="B12" s="11" t="str">
        <f>IF(Setup!$B$14="","",Setup!$B$14)</f>
        <v>Dewi</v>
      </c>
      <c r="C12" s="11">
        <v>2</v>
      </c>
      <c r="D12" s="11" t="str">
        <f>Setup!$B$6</f>
        <v>381</v>
      </c>
      <c r="E12" s="12">
        <v>9</v>
      </c>
      <c r="F12" s="12">
        <v>11</v>
      </c>
      <c r="G12" s="12">
        <v>8</v>
      </c>
      <c r="H12" s="12">
        <v>8</v>
      </c>
      <c r="I12" s="12">
        <v>8</v>
      </c>
      <c r="J12" s="12">
        <v>5</v>
      </c>
      <c r="K12" s="12">
        <v>10</v>
      </c>
      <c r="L12" s="11" t="str">
        <f t="shared" si="0"/>
        <v>OK</v>
      </c>
    </row>
    <row r="13" spans="1:12" ht="15" customHeight="1" x14ac:dyDescent="0.2">
      <c r="A13" s="11" t="s">
        <v>21</v>
      </c>
      <c r="B13" s="11" t="str">
        <f>IF(Setup!$B$15="","",Setup!$B$15)</f>
        <v>Eka</v>
      </c>
      <c r="C13" s="11">
        <v>1</v>
      </c>
      <c r="D13" s="11" t="str">
        <f>Setup!$B$5</f>
        <v>527</v>
      </c>
      <c r="E13" s="12">
        <v>8</v>
      </c>
      <c r="F13" s="12">
        <v>13</v>
      </c>
      <c r="G13" s="12">
        <v>8</v>
      </c>
      <c r="H13" s="12">
        <v>9</v>
      </c>
      <c r="I13" s="12">
        <v>12</v>
      </c>
      <c r="J13" s="12">
        <v>7</v>
      </c>
      <c r="K13" s="12">
        <v>5</v>
      </c>
      <c r="L13" s="11" t="str">
        <f t="shared" si="0"/>
        <v>OK</v>
      </c>
    </row>
    <row r="14" spans="1:12" ht="15" customHeight="1" x14ac:dyDescent="0.2">
      <c r="A14" s="11" t="s">
        <v>21</v>
      </c>
      <c r="B14" s="11" t="str">
        <f>IF(Setup!$B$15="","",Setup!$B$15)</f>
        <v>Eka</v>
      </c>
      <c r="C14" s="11">
        <v>2</v>
      </c>
      <c r="D14" s="11" t="str">
        <f>Setup!$B$6</f>
        <v>381</v>
      </c>
      <c r="E14" s="12">
        <v>8</v>
      </c>
      <c r="F14" s="12">
        <v>9</v>
      </c>
      <c r="G14" s="12">
        <v>9</v>
      </c>
      <c r="H14" s="12">
        <v>9</v>
      </c>
      <c r="I14" s="12">
        <v>5</v>
      </c>
      <c r="J14" s="12">
        <v>8</v>
      </c>
      <c r="K14" s="12">
        <v>11</v>
      </c>
      <c r="L14" s="11" t="str">
        <f t="shared" si="0"/>
        <v>OK</v>
      </c>
    </row>
    <row r="15" spans="1:12" ht="15" customHeight="1" x14ac:dyDescent="0.2">
      <c r="A15" s="11" t="s">
        <v>23</v>
      </c>
      <c r="B15" s="11" t="str">
        <f>IF(Setup!$B$16="","",Setup!$B$16)</f>
        <v>Fajar</v>
      </c>
      <c r="C15" s="11">
        <v>1</v>
      </c>
      <c r="D15" s="11" t="str">
        <f>Setup!$B$5</f>
        <v>527</v>
      </c>
      <c r="E15" s="12">
        <v>11</v>
      </c>
      <c r="F15" s="12">
        <v>9</v>
      </c>
      <c r="G15" s="12">
        <v>8</v>
      </c>
      <c r="H15" s="12">
        <v>6</v>
      </c>
      <c r="I15" s="12">
        <v>11</v>
      </c>
      <c r="J15" s="12">
        <v>10</v>
      </c>
      <c r="K15" s="12">
        <v>7</v>
      </c>
      <c r="L15" s="11" t="str">
        <f t="shared" si="0"/>
        <v>OK</v>
      </c>
    </row>
    <row r="16" spans="1:12" ht="15" customHeight="1" x14ac:dyDescent="0.2">
      <c r="A16" s="11" t="s">
        <v>23</v>
      </c>
      <c r="B16" s="11" t="str">
        <f>IF(Setup!$B$16="","",Setup!$B$16)</f>
        <v>Fajar</v>
      </c>
      <c r="C16" s="11">
        <v>2</v>
      </c>
      <c r="D16" s="11" t="str">
        <f>Setup!$B$6</f>
        <v>381</v>
      </c>
      <c r="E16" s="12">
        <v>9</v>
      </c>
      <c r="F16" s="12">
        <v>8</v>
      </c>
      <c r="G16" s="12">
        <v>7</v>
      </c>
      <c r="H16" s="12">
        <v>8</v>
      </c>
      <c r="I16" s="12">
        <v>3</v>
      </c>
      <c r="J16" s="12">
        <v>5</v>
      </c>
      <c r="K16" s="12">
        <v>10</v>
      </c>
      <c r="L16" s="11" t="str">
        <f t="shared" si="0"/>
        <v>OK</v>
      </c>
    </row>
    <row r="17" spans="1:12" ht="15" customHeight="1" x14ac:dyDescent="0.2">
      <c r="A17" s="11" t="s">
        <v>25</v>
      </c>
      <c r="B17" s="11" t="str">
        <f>IF(Setup!$B$17="","",Setup!$B$17)</f>
        <v>Gita</v>
      </c>
      <c r="C17" s="11">
        <v>1</v>
      </c>
      <c r="D17" s="11" t="str">
        <f>Setup!$B$5</f>
        <v>527</v>
      </c>
      <c r="E17" s="12">
        <v>6</v>
      </c>
      <c r="F17" s="12">
        <v>7</v>
      </c>
      <c r="G17" s="12">
        <v>10</v>
      </c>
      <c r="H17" s="12">
        <v>8</v>
      </c>
      <c r="I17" s="12">
        <v>11</v>
      </c>
      <c r="J17" s="12">
        <v>11</v>
      </c>
      <c r="K17" s="12">
        <v>6</v>
      </c>
      <c r="L17" s="11" t="str">
        <f t="shared" si="0"/>
        <v>OK</v>
      </c>
    </row>
    <row r="18" spans="1:12" ht="15" customHeight="1" x14ac:dyDescent="0.2">
      <c r="A18" s="11" t="s">
        <v>25</v>
      </c>
      <c r="B18" s="11" t="str">
        <f>IF(Setup!$B$17="","",Setup!$B$17)</f>
        <v>Gita</v>
      </c>
      <c r="C18" s="11">
        <v>2</v>
      </c>
      <c r="D18" s="11" t="str">
        <f>Setup!$B$6</f>
        <v>381</v>
      </c>
      <c r="E18" s="12">
        <v>6</v>
      </c>
      <c r="F18" s="12">
        <v>8</v>
      </c>
      <c r="G18" s="12">
        <v>9</v>
      </c>
      <c r="H18" s="12">
        <v>12</v>
      </c>
      <c r="I18" s="12">
        <v>2</v>
      </c>
      <c r="J18" s="12">
        <v>3</v>
      </c>
      <c r="K18" s="12">
        <v>9</v>
      </c>
      <c r="L18" s="11" t="str">
        <f t="shared" si="0"/>
        <v>OK</v>
      </c>
    </row>
    <row r="19" spans="1:12" ht="15" customHeight="1" x14ac:dyDescent="0.2">
      <c r="A19" s="11" t="s">
        <v>27</v>
      </c>
      <c r="B19" s="11" t="str">
        <f>IF(Setup!$B$18="","",Setup!$B$18)</f>
        <v>Hana</v>
      </c>
      <c r="C19" s="11">
        <v>1</v>
      </c>
      <c r="D19" s="11" t="str">
        <f>Setup!$B$5</f>
        <v>527</v>
      </c>
      <c r="E19" s="12">
        <v>6</v>
      </c>
      <c r="F19" s="12">
        <v>7</v>
      </c>
      <c r="G19" s="12">
        <v>12</v>
      </c>
      <c r="H19" s="12">
        <v>10</v>
      </c>
      <c r="I19" s="12">
        <v>5</v>
      </c>
      <c r="J19" s="12">
        <v>6</v>
      </c>
      <c r="K19" s="12">
        <v>7</v>
      </c>
      <c r="L19" s="11" t="str">
        <f t="shared" si="0"/>
        <v>OK</v>
      </c>
    </row>
    <row r="20" spans="1:12" ht="15" customHeight="1" x14ac:dyDescent="0.2">
      <c r="A20" s="11" t="s">
        <v>27</v>
      </c>
      <c r="B20" s="11" t="str">
        <f>IF(Setup!$B$18="","",Setup!$B$18)</f>
        <v>Hana</v>
      </c>
      <c r="C20" s="11">
        <v>2</v>
      </c>
      <c r="D20" s="11" t="str">
        <f>Setup!$B$6</f>
        <v>381</v>
      </c>
      <c r="E20" s="12">
        <v>8</v>
      </c>
      <c r="F20" s="12">
        <v>11</v>
      </c>
      <c r="G20" s="12">
        <v>10</v>
      </c>
      <c r="H20" s="12">
        <v>8</v>
      </c>
      <c r="I20" s="12">
        <v>6</v>
      </c>
      <c r="J20" s="12">
        <v>3</v>
      </c>
      <c r="K20" s="12">
        <v>10</v>
      </c>
      <c r="L20" s="11" t="str">
        <f t="shared" si="0"/>
        <v>OK</v>
      </c>
    </row>
    <row r="21" spans="1:12" ht="15" customHeight="1" x14ac:dyDescent="0.2">
      <c r="A21" s="11" t="s">
        <v>29</v>
      </c>
      <c r="B21" s="11" t="str">
        <f>IF(Setup!$B$19="","",Setup!$B$19)</f>
        <v>Indra</v>
      </c>
      <c r="C21" s="11">
        <v>1</v>
      </c>
      <c r="D21" s="11" t="str">
        <f>Setup!$B$5</f>
        <v>527</v>
      </c>
      <c r="E21" s="12">
        <v>10</v>
      </c>
      <c r="F21" s="12">
        <v>7</v>
      </c>
      <c r="G21" s="12">
        <v>9</v>
      </c>
      <c r="H21" s="12">
        <v>7</v>
      </c>
      <c r="I21" s="12">
        <v>10</v>
      </c>
      <c r="J21" s="12">
        <v>9</v>
      </c>
      <c r="K21" s="12">
        <v>12</v>
      </c>
      <c r="L21" s="11" t="str">
        <f t="shared" si="0"/>
        <v>OK</v>
      </c>
    </row>
    <row r="22" spans="1:12" ht="15" customHeight="1" x14ac:dyDescent="0.2">
      <c r="A22" s="11" t="s">
        <v>29</v>
      </c>
      <c r="B22" s="11" t="str">
        <f>IF(Setup!$B$19="","",Setup!$B$19)</f>
        <v>Indra</v>
      </c>
      <c r="C22" s="11">
        <v>2</v>
      </c>
      <c r="D22" s="11" t="str">
        <f>Setup!$B$6</f>
        <v>381</v>
      </c>
      <c r="E22" s="12">
        <v>9</v>
      </c>
      <c r="F22" s="12">
        <v>9</v>
      </c>
      <c r="G22" s="12">
        <v>7</v>
      </c>
      <c r="H22" s="12">
        <v>8</v>
      </c>
      <c r="I22" s="12">
        <v>6</v>
      </c>
      <c r="J22" s="12">
        <v>5</v>
      </c>
      <c r="K22" s="12">
        <v>11</v>
      </c>
      <c r="L22" s="11" t="str">
        <f t="shared" si="0"/>
        <v>OK</v>
      </c>
    </row>
    <row r="23" spans="1:12" ht="15" customHeight="1" x14ac:dyDescent="0.2">
      <c r="A23" s="11" t="s">
        <v>31</v>
      </c>
      <c r="B23" s="11" t="str">
        <f>IF(Setup!$B$20="","",Setup!$B$20)</f>
        <v>Joko</v>
      </c>
      <c r="C23" s="11">
        <v>1</v>
      </c>
      <c r="D23" s="11" t="str">
        <f>Setup!$B$5</f>
        <v>527</v>
      </c>
      <c r="E23" s="12">
        <v>10</v>
      </c>
      <c r="F23" s="12">
        <v>8</v>
      </c>
      <c r="G23" s="12">
        <v>10</v>
      </c>
      <c r="H23" s="12">
        <v>5</v>
      </c>
      <c r="I23" s="12">
        <v>12</v>
      </c>
      <c r="J23" s="12">
        <v>8</v>
      </c>
      <c r="K23" s="12">
        <v>4</v>
      </c>
      <c r="L23" s="11" t="str">
        <f t="shared" si="0"/>
        <v>OK</v>
      </c>
    </row>
    <row r="24" spans="1:12" ht="15" customHeight="1" x14ac:dyDescent="0.2">
      <c r="A24" s="11" t="s">
        <v>31</v>
      </c>
      <c r="B24" s="11" t="str">
        <f>IF(Setup!$B$20="","",Setup!$B$20)</f>
        <v>Joko</v>
      </c>
      <c r="C24" s="11">
        <v>2</v>
      </c>
      <c r="D24" s="11" t="str">
        <f>Setup!$B$6</f>
        <v>381</v>
      </c>
      <c r="E24" s="12">
        <v>8</v>
      </c>
      <c r="F24" s="12">
        <v>7</v>
      </c>
      <c r="G24" s="12">
        <v>9</v>
      </c>
      <c r="H24" s="12">
        <v>8</v>
      </c>
      <c r="I24" s="12">
        <v>3</v>
      </c>
      <c r="J24" s="12">
        <v>8</v>
      </c>
      <c r="K24" s="12">
        <v>10</v>
      </c>
      <c r="L24" s="11" t="str">
        <f t="shared" si="0"/>
        <v>OK</v>
      </c>
    </row>
    <row r="25" spans="1:12" ht="15" customHeight="1" x14ac:dyDescent="0.2">
      <c r="A25" s="11" t="s">
        <v>33</v>
      </c>
      <c r="B25" s="11" t="str">
        <f>IF(Setup!$B$21="","",Setup!$B$21)</f>
        <v>Kirana</v>
      </c>
      <c r="C25" s="11">
        <v>1</v>
      </c>
      <c r="D25" s="11" t="str">
        <f>Setup!$B$5</f>
        <v>527</v>
      </c>
      <c r="E25" s="12">
        <v>10</v>
      </c>
      <c r="F25" s="12">
        <v>8</v>
      </c>
      <c r="G25" s="12">
        <v>6</v>
      </c>
      <c r="H25" s="12">
        <v>8</v>
      </c>
      <c r="I25" s="12">
        <v>12</v>
      </c>
      <c r="J25" s="12">
        <v>4</v>
      </c>
      <c r="K25" s="12">
        <v>8</v>
      </c>
      <c r="L25" s="11" t="str">
        <f t="shared" si="0"/>
        <v>OK</v>
      </c>
    </row>
    <row r="26" spans="1:12" ht="15" customHeight="1" x14ac:dyDescent="0.2">
      <c r="A26" s="11" t="s">
        <v>33</v>
      </c>
      <c r="B26" s="11" t="str">
        <f>IF(Setup!$B$21="","",Setup!$B$21)</f>
        <v>Kirana</v>
      </c>
      <c r="C26" s="11">
        <v>2</v>
      </c>
      <c r="D26" s="11" t="str">
        <f>Setup!$B$6</f>
        <v>381</v>
      </c>
      <c r="E26" s="12">
        <v>9</v>
      </c>
      <c r="F26" s="12">
        <v>10</v>
      </c>
      <c r="G26" s="12">
        <v>11</v>
      </c>
      <c r="H26" s="12">
        <v>7</v>
      </c>
      <c r="I26" s="12">
        <v>3</v>
      </c>
      <c r="J26" s="12">
        <v>4</v>
      </c>
      <c r="K26" s="12">
        <v>11</v>
      </c>
      <c r="L26" s="11" t="str">
        <f t="shared" si="0"/>
        <v>OK</v>
      </c>
    </row>
    <row r="27" spans="1:12" ht="15" customHeight="1" x14ac:dyDescent="0.2">
      <c r="A27" s="11" t="s">
        <v>35</v>
      </c>
      <c r="B27" s="11" t="str">
        <f>IF(Setup!$B$22="","",Setup!$B$22)</f>
        <v>Lutfi</v>
      </c>
      <c r="C27" s="11">
        <v>1</v>
      </c>
      <c r="D27" s="11" t="str">
        <f>Setup!$B$5</f>
        <v>527</v>
      </c>
      <c r="E27" s="12">
        <v>11</v>
      </c>
      <c r="F27" s="12">
        <v>6</v>
      </c>
      <c r="G27" s="12">
        <v>6</v>
      </c>
      <c r="H27" s="12">
        <v>8</v>
      </c>
      <c r="I27" s="12">
        <v>12</v>
      </c>
      <c r="J27" s="12">
        <v>7</v>
      </c>
      <c r="K27" s="12">
        <v>8</v>
      </c>
      <c r="L27" s="11" t="str">
        <f t="shared" si="0"/>
        <v>OK</v>
      </c>
    </row>
    <row r="28" spans="1:12" ht="15" customHeight="1" x14ac:dyDescent="0.2">
      <c r="A28" s="11" t="s">
        <v>35</v>
      </c>
      <c r="B28" s="11" t="str">
        <f>IF(Setup!$B$22="","",Setup!$B$22)</f>
        <v>Lutfi</v>
      </c>
      <c r="C28" s="11">
        <v>2</v>
      </c>
      <c r="D28" s="11" t="str">
        <f>Setup!$B$6</f>
        <v>381</v>
      </c>
      <c r="E28" s="12">
        <v>7</v>
      </c>
      <c r="F28" s="12">
        <v>9</v>
      </c>
      <c r="G28" s="12">
        <v>10</v>
      </c>
      <c r="H28" s="12">
        <v>8</v>
      </c>
      <c r="I28" s="12">
        <v>2</v>
      </c>
      <c r="J28" s="12">
        <v>4</v>
      </c>
      <c r="K28" s="12">
        <v>7</v>
      </c>
      <c r="L28" s="11" t="str">
        <f t="shared" si="0"/>
        <v>OK</v>
      </c>
    </row>
    <row r="29" spans="1:12" ht="15" customHeight="1" x14ac:dyDescent="0.2">
      <c r="A29" s="11" t="s">
        <v>37</v>
      </c>
      <c r="B29" s="11" t="str">
        <f>IF(Setup!$B$23="","",Setup!$B$23)</f>
        <v>Maya</v>
      </c>
      <c r="C29" s="11">
        <v>1</v>
      </c>
      <c r="D29" s="11" t="str">
        <f>Setup!$B$5</f>
        <v>527</v>
      </c>
      <c r="E29" s="12">
        <v>10</v>
      </c>
      <c r="F29" s="12">
        <v>6</v>
      </c>
      <c r="G29" s="12">
        <v>8</v>
      </c>
      <c r="H29" s="12">
        <v>4</v>
      </c>
      <c r="I29" s="12">
        <v>12</v>
      </c>
      <c r="J29" s="12">
        <v>7</v>
      </c>
      <c r="K29" s="12">
        <v>9</v>
      </c>
      <c r="L29" s="11" t="str">
        <f t="shared" si="0"/>
        <v>OK</v>
      </c>
    </row>
    <row r="30" spans="1:12" ht="15" customHeight="1" x14ac:dyDescent="0.2">
      <c r="A30" s="11" t="s">
        <v>37</v>
      </c>
      <c r="B30" s="11" t="str">
        <f>IF(Setup!$B$23="","",Setup!$B$23)</f>
        <v>Maya</v>
      </c>
      <c r="C30" s="11">
        <v>2</v>
      </c>
      <c r="D30" s="11" t="str">
        <f>Setup!$B$6</f>
        <v>381</v>
      </c>
      <c r="E30" s="12">
        <v>7</v>
      </c>
      <c r="F30" s="12">
        <v>10</v>
      </c>
      <c r="G30" s="12">
        <v>6</v>
      </c>
      <c r="H30" s="12">
        <v>8</v>
      </c>
      <c r="I30" s="12">
        <v>5</v>
      </c>
      <c r="J30" s="12">
        <v>8</v>
      </c>
      <c r="K30" s="12">
        <v>11</v>
      </c>
      <c r="L30" s="11" t="str">
        <f t="shared" si="0"/>
        <v>OK</v>
      </c>
    </row>
    <row r="31" spans="1:12" ht="15" customHeight="1" x14ac:dyDescent="0.2">
      <c r="A31" s="11" t="s">
        <v>39</v>
      </c>
      <c r="B31" s="11" t="str">
        <f>IF(Setup!$B$24="","",Setup!$B$24)</f>
        <v>Nanda</v>
      </c>
      <c r="C31" s="11">
        <v>1</v>
      </c>
      <c r="D31" s="11" t="str">
        <f>Setup!$B$5</f>
        <v>527</v>
      </c>
      <c r="E31" s="12">
        <v>7</v>
      </c>
      <c r="F31" s="12">
        <v>8</v>
      </c>
      <c r="G31" s="12">
        <v>11</v>
      </c>
      <c r="H31" s="12">
        <v>6</v>
      </c>
      <c r="I31" s="12">
        <v>10</v>
      </c>
      <c r="J31" s="12">
        <v>6</v>
      </c>
      <c r="K31" s="12">
        <v>8</v>
      </c>
      <c r="L31" s="11" t="str">
        <f t="shared" si="0"/>
        <v>OK</v>
      </c>
    </row>
    <row r="32" spans="1:12" ht="15" customHeight="1" x14ac:dyDescent="0.2">
      <c r="A32" s="11" t="s">
        <v>39</v>
      </c>
      <c r="B32" s="11" t="str">
        <f>IF(Setup!$B$24="","",Setup!$B$24)</f>
        <v>Nanda</v>
      </c>
      <c r="C32" s="11">
        <v>2</v>
      </c>
      <c r="D32" s="11" t="str">
        <f>Setup!$B$6</f>
        <v>381</v>
      </c>
      <c r="E32" s="12">
        <v>12</v>
      </c>
      <c r="F32" s="12">
        <v>8</v>
      </c>
      <c r="G32" s="12">
        <v>10</v>
      </c>
      <c r="H32" s="12">
        <v>11</v>
      </c>
      <c r="I32" s="12">
        <v>3</v>
      </c>
      <c r="J32" s="12">
        <v>5</v>
      </c>
      <c r="K32" s="12">
        <v>8</v>
      </c>
      <c r="L32" s="11" t="str">
        <f t="shared" si="0"/>
        <v>OK</v>
      </c>
    </row>
    <row r="33" spans="1:12" ht="15" customHeight="1" x14ac:dyDescent="0.2">
      <c r="A33" s="11" t="s">
        <v>41</v>
      </c>
      <c r="B33" s="11" t="str">
        <f>IF(Setup!$B$25="","",Setup!$B$25)</f>
        <v>Oki</v>
      </c>
      <c r="C33" s="11">
        <v>1</v>
      </c>
      <c r="D33" s="11" t="str">
        <f>Setup!$B$5</f>
        <v>527</v>
      </c>
      <c r="E33" s="12">
        <v>5</v>
      </c>
      <c r="F33" s="12">
        <v>10</v>
      </c>
      <c r="G33" s="12">
        <v>8</v>
      </c>
      <c r="H33" s="12">
        <v>4</v>
      </c>
      <c r="I33" s="12">
        <v>10</v>
      </c>
      <c r="J33" s="12">
        <v>9</v>
      </c>
      <c r="K33" s="12">
        <v>4</v>
      </c>
      <c r="L33" s="11" t="str">
        <f t="shared" si="0"/>
        <v>OK</v>
      </c>
    </row>
    <row r="34" spans="1:12" ht="15" customHeight="1" x14ac:dyDescent="0.2">
      <c r="A34" s="11" t="s">
        <v>41</v>
      </c>
      <c r="B34" s="11" t="str">
        <f>IF(Setup!$B$25="","",Setup!$B$25)</f>
        <v>Oki</v>
      </c>
      <c r="C34" s="11">
        <v>2</v>
      </c>
      <c r="D34" s="11" t="str">
        <f>Setup!$B$6</f>
        <v>381</v>
      </c>
      <c r="E34" s="12">
        <v>10</v>
      </c>
      <c r="F34" s="12">
        <v>8</v>
      </c>
      <c r="G34" s="12">
        <v>7</v>
      </c>
      <c r="H34" s="12">
        <v>8</v>
      </c>
      <c r="I34" s="12">
        <v>5</v>
      </c>
      <c r="J34" s="12">
        <v>5</v>
      </c>
      <c r="K34" s="12">
        <v>4</v>
      </c>
      <c r="L34" s="11" t="str">
        <f t="shared" si="0"/>
        <v>OK</v>
      </c>
    </row>
    <row r="35" spans="1:12" ht="15" customHeight="1" x14ac:dyDescent="0.2">
      <c r="A35" s="11" t="s">
        <v>43</v>
      </c>
      <c r="B35" s="11" t="str">
        <f>IF(Setup!$B$26="","",Setup!$B$26)</f>
        <v>Putri</v>
      </c>
      <c r="C35" s="11">
        <v>1</v>
      </c>
      <c r="D35" s="11" t="str">
        <f>Setup!$B$5</f>
        <v>527</v>
      </c>
      <c r="E35" s="12">
        <v>8</v>
      </c>
      <c r="F35" s="12">
        <v>5</v>
      </c>
      <c r="G35" s="12">
        <v>10</v>
      </c>
      <c r="H35" s="12">
        <v>5</v>
      </c>
      <c r="I35" s="12">
        <v>7</v>
      </c>
      <c r="J35" s="12">
        <v>6</v>
      </c>
      <c r="K35" s="12">
        <v>8</v>
      </c>
      <c r="L35" s="11" t="str">
        <f t="shared" si="0"/>
        <v>OK</v>
      </c>
    </row>
    <row r="36" spans="1:12" ht="15" customHeight="1" x14ac:dyDescent="0.2">
      <c r="A36" s="11" t="s">
        <v>43</v>
      </c>
      <c r="B36" s="11" t="str">
        <f>IF(Setup!$B$26="","",Setup!$B$26)</f>
        <v>Putri</v>
      </c>
      <c r="C36" s="11">
        <v>2</v>
      </c>
      <c r="D36" s="11" t="str">
        <f>Setup!$B$6</f>
        <v>381</v>
      </c>
      <c r="E36" s="12">
        <v>7</v>
      </c>
      <c r="F36" s="12">
        <v>12</v>
      </c>
      <c r="G36" s="12">
        <v>9</v>
      </c>
      <c r="H36" s="12">
        <v>7</v>
      </c>
      <c r="I36" s="12">
        <v>6</v>
      </c>
      <c r="J36" s="12">
        <v>1</v>
      </c>
      <c r="K36" s="12">
        <v>9</v>
      </c>
      <c r="L36" s="11" t="str">
        <f t="shared" si="0"/>
        <v>OK</v>
      </c>
    </row>
    <row r="37" spans="1:12" ht="15" customHeight="1" x14ac:dyDescent="0.2">
      <c r="A37" s="11" t="s">
        <v>45</v>
      </c>
      <c r="B37" s="11" t="str">
        <f>IF(Setup!$B$27="","",Setup!$B$27)</f>
        <v>Raka</v>
      </c>
      <c r="C37" s="11">
        <v>1</v>
      </c>
      <c r="D37" s="11" t="str">
        <f>Setup!$B$5</f>
        <v>527</v>
      </c>
      <c r="E37" s="12">
        <v>7</v>
      </c>
      <c r="F37" s="12">
        <v>4</v>
      </c>
      <c r="G37" s="12">
        <v>8</v>
      </c>
      <c r="H37" s="12">
        <v>7</v>
      </c>
      <c r="I37" s="12">
        <v>10</v>
      </c>
      <c r="J37" s="12">
        <v>7</v>
      </c>
      <c r="K37" s="12">
        <v>9</v>
      </c>
      <c r="L37" s="11" t="str">
        <f t="shared" ref="L37:L64" si="1">IF(COUNT(E37:K37)=0,"kosong",IF(COUNT(E37:K37)&lt;7,"belum lengkap","OK"))</f>
        <v>OK</v>
      </c>
    </row>
    <row r="38" spans="1:12" ht="15" customHeight="1" x14ac:dyDescent="0.2">
      <c r="A38" s="11" t="s">
        <v>45</v>
      </c>
      <c r="B38" s="11" t="str">
        <f>IF(Setup!$B$27="","",Setup!$B$27)</f>
        <v>Raka</v>
      </c>
      <c r="C38" s="11">
        <v>2</v>
      </c>
      <c r="D38" s="11" t="str">
        <f>Setup!$B$6</f>
        <v>381</v>
      </c>
      <c r="E38" s="12">
        <v>11</v>
      </c>
      <c r="F38" s="12">
        <v>12</v>
      </c>
      <c r="G38" s="12">
        <v>10</v>
      </c>
      <c r="H38" s="12">
        <v>3</v>
      </c>
      <c r="I38" s="12">
        <v>0</v>
      </c>
      <c r="J38" s="12">
        <v>4</v>
      </c>
      <c r="K38" s="12">
        <v>8</v>
      </c>
      <c r="L38" s="11" t="str">
        <f t="shared" si="1"/>
        <v>OK</v>
      </c>
    </row>
    <row r="39" spans="1:12" ht="15" customHeight="1" x14ac:dyDescent="0.2">
      <c r="A39" s="11" t="s">
        <v>47</v>
      </c>
      <c r="B39" s="11" t="str">
        <f>IF(Setup!$B$28="","",Setup!$B$28)</f>
        <v>Sari</v>
      </c>
      <c r="C39" s="11">
        <v>1</v>
      </c>
      <c r="D39" s="11" t="str">
        <f>Setup!$B$5</f>
        <v>527</v>
      </c>
      <c r="E39" s="12">
        <v>5</v>
      </c>
      <c r="F39" s="12">
        <v>11</v>
      </c>
      <c r="G39" s="12">
        <v>12</v>
      </c>
      <c r="H39" s="12">
        <v>8</v>
      </c>
      <c r="I39" s="12">
        <v>10</v>
      </c>
      <c r="J39" s="12">
        <v>11</v>
      </c>
      <c r="K39" s="12">
        <v>6</v>
      </c>
      <c r="L39" s="11" t="str">
        <f t="shared" si="1"/>
        <v>OK</v>
      </c>
    </row>
    <row r="40" spans="1:12" ht="15" customHeight="1" x14ac:dyDescent="0.2">
      <c r="A40" s="11" t="s">
        <v>47</v>
      </c>
      <c r="B40" s="11" t="str">
        <f>IF(Setup!$B$28="","",Setup!$B$28)</f>
        <v>Sari</v>
      </c>
      <c r="C40" s="11">
        <v>2</v>
      </c>
      <c r="D40" s="11" t="str">
        <f>Setup!$B$6</f>
        <v>381</v>
      </c>
      <c r="E40" s="12">
        <v>6</v>
      </c>
      <c r="F40" s="12">
        <v>6</v>
      </c>
      <c r="G40" s="12">
        <v>10</v>
      </c>
      <c r="H40" s="12">
        <v>6</v>
      </c>
      <c r="I40" s="12">
        <v>2</v>
      </c>
      <c r="J40" s="12">
        <v>9</v>
      </c>
      <c r="K40" s="12">
        <v>9</v>
      </c>
      <c r="L40" s="11" t="str">
        <f t="shared" si="1"/>
        <v>OK</v>
      </c>
    </row>
    <row r="41" spans="1:12" ht="15" customHeight="1" x14ac:dyDescent="0.2">
      <c r="A41" s="11" t="s">
        <v>49</v>
      </c>
      <c r="B41" s="11" t="str">
        <f>IF(Setup!$B$29="","",Setup!$B$29)</f>
        <v>Tio</v>
      </c>
      <c r="C41" s="11">
        <v>1</v>
      </c>
      <c r="D41" s="11" t="str">
        <f>Setup!$B$5</f>
        <v>527</v>
      </c>
      <c r="E41" s="12">
        <v>10</v>
      </c>
      <c r="F41" s="12">
        <v>8</v>
      </c>
      <c r="G41" s="12">
        <v>11</v>
      </c>
      <c r="H41" s="12">
        <v>9</v>
      </c>
      <c r="I41" s="12">
        <v>10</v>
      </c>
      <c r="J41" s="12">
        <v>6</v>
      </c>
      <c r="K41" s="12">
        <v>5</v>
      </c>
      <c r="L41" s="11" t="str">
        <f t="shared" si="1"/>
        <v>OK</v>
      </c>
    </row>
    <row r="42" spans="1:12" ht="15" customHeight="1" x14ac:dyDescent="0.2">
      <c r="A42" s="11" t="s">
        <v>49</v>
      </c>
      <c r="B42" s="11" t="str">
        <f>IF(Setup!$B$29="","",Setup!$B$29)</f>
        <v>Tio</v>
      </c>
      <c r="C42" s="11">
        <v>2</v>
      </c>
      <c r="D42" s="11" t="str">
        <f>Setup!$B$6</f>
        <v>381</v>
      </c>
      <c r="E42" s="12">
        <v>10</v>
      </c>
      <c r="F42" s="12">
        <v>10</v>
      </c>
      <c r="G42" s="12">
        <v>9</v>
      </c>
      <c r="H42" s="12">
        <v>9</v>
      </c>
      <c r="I42" s="12">
        <v>4</v>
      </c>
      <c r="J42" s="12">
        <v>2</v>
      </c>
      <c r="K42" s="12">
        <v>12</v>
      </c>
      <c r="L42" s="11" t="str">
        <f t="shared" si="1"/>
        <v>OK</v>
      </c>
    </row>
    <row r="43" spans="1:12" ht="15" customHeight="1" x14ac:dyDescent="0.2">
      <c r="A43" s="11" t="s">
        <v>51</v>
      </c>
      <c r="B43" s="11" t="str">
        <f>IF(Setup!$B$30="","",Setup!$B$30)</f>
        <v>Umi</v>
      </c>
      <c r="C43" s="11">
        <v>1</v>
      </c>
      <c r="D43" s="11" t="str">
        <f>Setup!$B$5</f>
        <v>527</v>
      </c>
      <c r="E43" s="12">
        <v>3</v>
      </c>
      <c r="F43" s="12">
        <v>8</v>
      </c>
      <c r="G43" s="12">
        <v>9</v>
      </c>
      <c r="H43" s="12">
        <v>6</v>
      </c>
      <c r="I43" s="12">
        <v>11</v>
      </c>
      <c r="J43" s="12">
        <v>9</v>
      </c>
      <c r="K43" s="12">
        <v>10</v>
      </c>
      <c r="L43" s="11" t="str">
        <f t="shared" si="1"/>
        <v>OK</v>
      </c>
    </row>
    <row r="44" spans="1:12" ht="15" customHeight="1" x14ac:dyDescent="0.2">
      <c r="A44" s="11" t="s">
        <v>51</v>
      </c>
      <c r="B44" s="11" t="str">
        <f>IF(Setup!$B$30="","",Setup!$B$30)</f>
        <v>Umi</v>
      </c>
      <c r="C44" s="11">
        <v>2</v>
      </c>
      <c r="D44" s="11" t="str">
        <f>Setup!$B$6</f>
        <v>381</v>
      </c>
      <c r="E44" s="12">
        <v>15</v>
      </c>
      <c r="F44" s="12">
        <v>11</v>
      </c>
      <c r="G44" s="12">
        <v>8</v>
      </c>
      <c r="H44" s="12">
        <v>9</v>
      </c>
      <c r="I44" s="12">
        <v>5</v>
      </c>
      <c r="J44" s="12">
        <v>6</v>
      </c>
      <c r="K44" s="12">
        <v>7</v>
      </c>
      <c r="L44" s="11" t="str">
        <f t="shared" si="1"/>
        <v>OK</v>
      </c>
    </row>
    <row r="45" spans="1:12" ht="15" customHeight="1" x14ac:dyDescent="0.2">
      <c r="A45" s="11" t="s">
        <v>53</v>
      </c>
      <c r="B45" s="11" t="str">
        <f>IF(Setup!$B$31="","",Setup!$B$31)</f>
        <v>Vina</v>
      </c>
      <c r="C45" s="11">
        <v>1</v>
      </c>
      <c r="D45" s="11" t="str">
        <f>Setup!$B$5</f>
        <v>527</v>
      </c>
      <c r="E45" s="12">
        <v>9</v>
      </c>
      <c r="F45" s="12">
        <v>8</v>
      </c>
      <c r="G45" s="12">
        <v>8</v>
      </c>
      <c r="H45" s="12">
        <v>8</v>
      </c>
      <c r="I45" s="12">
        <v>12</v>
      </c>
      <c r="J45" s="12">
        <v>3</v>
      </c>
      <c r="K45" s="12">
        <v>8</v>
      </c>
      <c r="L45" s="11" t="str">
        <f t="shared" si="1"/>
        <v>OK</v>
      </c>
    </row>
    <row r="46" spans="1:12" ht="15" customHeight="1" x14ac:dyDescent="0.2">
      <c r="A46" s="11" t="s">
        <v>53</v>
      </c>
      <c r="B46" s="11" t="str">
        <f>IF(Setup!$B$31="","",Setup!$B$31)</f>
        <v>Vina</v>
      </c>
      <c r="C46" s="11">
        <v>2</v>
      </c>
      <c r="D46" s="11" t="str">
        <f>Setup!$B$6</f>
        <v>381</v>
      </c>
      <c r="E46" s="12">
        <v>8</v>
      </c>
      <c r="F46" s="12">
        <v>6</v>
      </c>
      <c r="G46" s="12">
        <v>8</v>
      </c>
      <c r="H46" s="12">
        <v>10</v>
      </c>
      <c r="I46" s="12">
        <v>7</v>
      </c>
      <c r="J46" s="12">
        <v>7</v>
      </c>
      <c r="K46" s="12">
        <v>8</v>
      </c>
      <c r="L46" s="11" t="str">
        <f t="shared" si="1"/>
        <v>OK</v>
      </c>
    </row>
    <row r="47" spans="1:12" ht="15" customHeight="1" x14ac:dyDescent="0.2">
      <c r="A47" s="11" t="s">
        <v>55</v>
      </c>
      <c r="B47" s="11" t="str">
        <f>IF(Setup!$B$32="","",Setup!$B$32)</f>
        <v>Wahyu</v>
      </c>
      <c r="C47" s="11">
        <v>1</v>
      </c>
      <c r="D47" s="11" t="str">
        <f>Setup!$B$5</f>
        <v>527</v>
      </c>
      <c r="E47" s="12">
        <v>8</v>
      </c>
      <c r="F47" s="12">
        <v>9</v>
      </c>
      <c r="G47" s="12">
        <v>8</v>
      </c>
      <c r="H47" s="12">
        <v>5</v>
      </c>
      <c r="I47" s="12">
        <v>9</v>
      </c>
      <c r="J47" s="12">
        <v>6</v>
      </c>
      <c r="K47" s="12">
        <v>13</v>
      </c>
      <c r="L47" s="11" t="str">
        <f t="shared" si="1"/>
        <v>OK</v>
      </c>
    </row>
    <row r="48" spans="1:12" ht="15" customHeight="1" x14ac:dyDescent="0.2">
      <c r="A48" s="11" t="s">
        <v>55</v>
      </c>
      <c r="B48" s="11" t="str">
        <f>IF(Setup!$B$32="","",Setup!$B$32)</f>
        <v>Wahyu</v>
      </c>
      <c r="C48" s="11">
        <v>2</v>
      </c>
      <c r="D48" s="11" t="str">
        <f>Setup!$B$6</f>
        <v>381</v>
      </c>
      <c r="E48" s="12">
        <v>9</v>
      </c>
      <c r="F48" s="12">
        <v>8</v>
      </c>
      <c r="G48" s="12">
        <v>5</v>
      </c>
      <c r="H48" s="12">
        <v>7</v>
      </c>
      <c r="I48" s="12">
        <v>3</v>
      </c>
      <c r="J48" s="12">
        <v>4</v>
      </c>
      <c r="K48" s="12">
        <v>7</v>
      </c>
      <c r="L48" s="11" t="str">
        <f t="shared" si="1"/>
        <v>OK</v>
      </c>
    </row>
    <row r="49" spans="1:12" ht="15" customHeight="1" x14ac:dyDescent="0.2">
      <c r="A49" s="11" t="s">
        <v>57</v>
      </c>
      <c r="B49" s="11" t="str">
        <f>IF(Setup!$B$33="","",Setup!$B$33)</f>
        <v>Yoga</v>
      </c>
      <c r="C49" s="11">
        <v>1</v>
      </c>
      <c r="D49" s="11" t="str">
        <f>Setup!$B$5</f>
        <v>527</v>
      </c>
      <c r="E49" s="12">
        <v>8</v>
      </c>
      <c r="F49" s="12">
        <v>10</v>
      </c>
      <c r="G49" s="12">
        <v>8</v>
      </c>
      <c r="H49" s="12">
        <v>9</v>
      </c>
      <c r="I49" s="12">
        <v>8</v>
      </c>
      <c r="J49" s="12">
        <v>5</v>
      </c>
      <c r="K49" s="12">
        <v>10</v>
      </c>
      <c r="L49" s="11" t="str">
        <f t="shared" si="1"/>
        <v>OK</v>
      </c>
    </row>
    <row r="50" spans="1:12" ht="15" customHeight="1" x14ac:dyDescent="0.2">
      <c r="A50" s="11" t="s">
        <v>57</v>
      </c>
      <c r="B50" s="11" t="str">
        <f>IF(Setup!$B$33="","",Setup!$B$33)</f>
        <v>Yoga</v>
      </c>
      <c r="C50" s="11">
        <v>2</v>
      </c>
      <c r="D50" s="11" t="str">
        <f>Setup!$B$6</f>
        <v>381</v>
      </c>
      <c r="E50" s="12">
        <v>11</v>
      </c>
      <c r="F50" s="12">
        <v>10</v>
      </c>
      <c r="G50" s="12">
        <v>8</v>
      </c>
      <c r="H50" s="12">
        <v>9</v>
      </c>
      <c r="I50" s="12">
        <v>6</v>
      </c>
      <c r="J50" s="12">
        <v>2</v>
      </c>
      <c r="K50" s="12">
        <v>11</v>
      </c>
      <c r="L50" s="11" t="str">
        <f t="shared" si="1"/>
        <v>OK</v>
      </c>
    </row>
    <row r="51" spans="1:12" ht="15" customHeight="1" x14ac:dyDescent="0.2">
      <c r="A51" s="11" t="s">
        <v>59</v>
      </c>
      <c r="B51" s="11" t="str">
        <f>IF(Setup!$B$34="","",Setup!$B$34)</f>
        <v>Zahra</v>
      </c>
      <c r="C51" s="11">
        <v>1</v>
      </c>
      <c r="D51" s="11" t="str">
        <f>Setup!$B$5</f>
        <v>527</v>
      </c>
      <c r="E51" s="12">
        <v>6</v>
      </c>
      <c r="F51" s="12">
        <v>4</v>
      </c>
      <c r="G51" s="12">
        <v>6</v>
      </c>
      <c r="H51" s="12">
        <v>2</v>
      </c>
      <c r="I51" s="12">
        <v>10</v>
      </c>
      <c r="J51" s="12">
        <v>7</v>
      </c>
      <c r="K51" s="12">
        <v>9</v>
      </c>
      <c r="L51" s="11" t="str">
        <f t="shared" si="1"/>
        <v>OK</v>
      </c>
    </row>
    <row r="52" spans="1:12" ht="15" customHeight="1" x14ac:dyDescent="0.2">
      <c r="A52" s="11" t="s">
        <v>59</v>
      </c>
      <c r="B52" s="11" t="str">
        <f>IF(Setup!$B$34="","",Setup!$B$34)</f>
        <v>Zahra</v>
      </c>
      <c r="C52" s="11">
        <v>2</v>
      </c>
      <c r="D52" s="11" t="str">
        <f>Setup!$B$6</f>
        <v>381</v>
      </c>
      <c r="E52" s="12">
        <v>12</v>
      </c>
      <c r="F52" s="12">
        <v>12</v>
      </c>
      <c r="G52" s="12">
        <v>5</v>
      </c>
      <c r="H52" s="12">
        <v>6</v>
      </c>
      <c r="I52" s="12">
        <v>6</v>
      </c>
      <c r="J52" s="12">
        <v>4</v>
      </c>
      <c r="K52" s="12">
        <v>10</v>
      </c>
      <c r="L52" s="11" t="str">
        <f t="shared" si="1"/>
        <v>OK</v>
      </c>
    </row>
    <row r="53" spans="1:12" ht="15" customHeight="1" x14ac:dyDescent="0.2">
      <c r="A53" s="11" t="s">
        <v>61</v>
      </c>
      <c r="B53" s="11" t="str">
        <f>IF(Setup!$B$35="","",Setup!$B$35)</f>
        <v>Arif</v>
      </c>
      <c r="C53" s="11">
        <v>1</v>
      </c>
      <c r="D53" s="11" t="str">
        <f>Setup!$B$5</f>
        <v>527</v>
      </c>
      <c r="E53" s="12">
        <v>6</v>
      </c>
      <c r="F53" s="12">
        <v>11</v>
      </c>
      <c r="G53" s="12">
        <v>5</v>
      </c>
      <c r="H53" s="12">
        <v>11</v>
      </c>
      <c r="I53" s="12">
        <v>11</v>
      </c>
      <c r="J53" s="12">
        <v>12</v>
      </c>
      <c r="K53" s="12">
        <v>6</v>
      </c>
      <c r="L53" s="11" t="str">
        <f t="shared" si="1"/>
        <v>OK</v>
      </c>
    </row>
    <row r="54" spans="1:12" ht="15" customHeight="1" x14ac:dyDescent="0.2">
      <c r="A54" s="11" t="s">
        <v>61</v>
      </c>
      <c r="B54" s="11" t="str">
        <f>IF(Setup!$B$35="","",Setup!$B$35)</f>
        <v>Arif</v>
      </c>
      <c r="C54" s="11">
        <v>2</v>
      </c>
      <c r="D54" s="11" t="str">
        <f>Setup!$B$6</f>
        <v>381</v>
      </c>
      <c r="E54" s="12">
        <v>8</v>
      </c>
      <c r="F54" s="12">
        <v>12</v>
      </c>
      <c r="G54" s="12">
        <v>7</v>
      </c>
      <c r="H54" s="12">
        <v>11</v>
      </c>
      <c r="I54" s="12">
        <v>1</v>
      </c>
      <c r="J54" s="12">
        <v>6</v>
      </c>
      <c r="K54" s="12">
        <v>10</v>
      </c>
      <c r="L54" s="11" t="str">
        <f t="shared" si="1"/>
        <v>OK</v>
      </c>
    </row>
    <row r="55" spans="1:12" ht="15" customHeight="1" x14ac:dyDescent="0.2">
      <c r="A55" s="11" t="s">
        <v>63</v>
      </c>
      <c r="B55" s="11" t="str">
        <f>IF(Setup!$B$36="","",Setup!$B$36)</f>
        <v>Bella</v>
      </c>
      <c r="C55" s="11">
        <v>1</v>
      </c>
      <c r="D55" s="11" t="str">
        <f>Setup!$B$5</f>
        <v>527</v>
      </c>
      <c r="E55" s="12">
        <v>10</v>
      </c>
      <c r="F55" s="12">
        <v>7</v>
      </c>
      <c r="G55" s="12">
        <v>6</v>
      </c>
      <c r="H55" s="12">
        <v>7</v>
      </c>
      <c r="I55" s="12">
        <v>11</v>
      </c>
      <c r="J55" s="12">
        <v>5</v>
      </c>
      <c r="K55" s="12">
        <v>7</v>
      </c>
      <c r="L55" s="11" t="str">
        <f t="shared" si="1"/>
        <v>OK</v>
      </c>
    </row>
    <row r="56" spans="1:12" ht="15" customHeight="1" x14ac:dyDescent="0.2">
      <c r="A56" s="11" t="s">
        <v>63</v>
      </c>
      <c r="B56" s="11" t="str">
        <f>IF(Setup!$B$36="","",Setup!$B$36)</f>
        <v>Bella</v>
      </c>
      <c r="C56" s="11">
        <v>2</v>
      </c>
      <c r="D56" s="11" t="str">
        <f>Setup!$B$6</f>
        <v>381</v>
      </c>
      <c r="E56" s="12">
        <v>12</v>
      </c>
      <c r="F56" s="12">
        <v>7</v>
      </c>
      <c r="G56" s="12">
        <v>10</v>
      </c>
      <c r="H56" s="12">
        <v>8</v>
      </c>
      <c r="I56" s="12">
        <v>7</v>
      </c>
      <c r="J56" s="12">
        <v>7</v>
      </c>
      <c r="K56" s="12">
        <v>10</v>
      </c>
      <c r="L56" s="11" t="str">
        <f t="shared" si="1"/>
        <v>OK</v>
      </c>
    </row>
    <row r="57" spans="1:12" ht="15" customHeight="1" x14ac:dyDescent="0.2">
      <c r="A57" s="11" t="s">
        <v>65</v>
      </c>
      <c r="B57" s="11" t="str">
        <f>IF(Setup!$B$37="","",Setup!$B$37)</f>
        <v>Dimas</v>
      </c>
      <c r="C57" s="11">
        <v>1</v>
      </c>
      <c r="D57" s="11" t="str">
        <f>Setup!$B$5</f>
        <v>527</v>
      </c>
      <c r="E57" s="12">
        <v>10</v>
      </c>
      <c r="F57" s="12">
        <v>9</v>
      </c>
      <c r="G57" s="12">
        <v>8</v>
      </c>
      <c r="H57" s="12">
        <v>8</v>
      </c>
      <c r="I57" s="12">
        <v>10</v>
      </c>
      <c r="J57" s="12">
        <v>7</v>
      </c>
      <c r="K57" s="12">
        <v>10</v>
      </c>
      <c r="L57" s="11" t="str">
        <f t="shared" si="1"/>
        <v>OK</v>
      </c>
    </row>
    <row r="58" spans="1:12" ht="15" customHeight="1" x14ac:dyDescent="0.2">
      <c r="A58" s="11" t="s">
        <v>65</v>
      </c>
      <c r="B58" s="11" t="str">
        <f>IF(Setup!$B$37="","",Setup!$B$37)</f>
        <v>Dimas</v>
      </c>
      <c r="C58" s="11">
        <v>2</v>
      </c>
      <c r="D58" s="11" t="str">
        <f>Setup!$B$6</f>
        <v>381</v>
      </c>
      <c r="E58" s="12">
        <v>10</v>
      </c>
      <c r="F58" s="12">
        <v>8</v>
      </c>
      <c r="G58" s="12">
        <v>9</v>
      </c>
      <c r="H58" s="12">
        <v>8</v>
      </c>
      <c r="I58" s="12">
        <v>3</v>
      </c>
      <c r="J58" s="12">
        <v>0</v>
      </c>
      <c r="K58" s="12">
        <v>11</v>
      </c>
      <c r="L58" s="11" t="str">
        <f t="shared" si="1"/>
        <v>OK</v>
      </c>
    </row>
    <row r="59" spans="1:12" ht="15" customHeight="1" x14ac:dyDescent="0.2">
      <c r="A59" s="11" t="s">
        <v>67</v>
      </c>
      <c r="B59" s="11" t="str">
        <f>IF(Setup!$B$38="","",Setup!$B$38)</f>
        <v>Fitri</v>
      </c>
      <c r="C59" s="11">
        <v>1</v>
      </c>
      <c r="D59" s="11" t="str">
        <f>Setup!$B$5</f>
        <v>527</v>
      </c>
      <c r="E59" s="12">
        <v>5</v>
      </c>
      <c r="F59" s="12">
        <v>11</v>
      </c>
      <c r="G59" s="12">
        <v>9</v>
      </c>
      <c r="H59" s="12">
        <v>10</v>
      </c>
      <c r="I59" s="12">
        <v>12</v>
      </c>
      <c r="J59" s="12">
        <v>6</v>
      </c>
      <c r="K59" s="12">
        <v>8</v>
      </c>
      <c r="L59" s="11" t="str">
        <f t="shared" si="1"/>
        <v>OK</v>
      </c>
    </row>
    <row r="60" spans="1:12" ht="15" customHeight="1" x14ac:dyDescent="0.2">
      <c r="A60" s="11" t="s">
        <v>67</v>
      </c>
      <c r="B60" s="11" t="str">
        <f>IF(Setup!$B$38="","",Setup!$B$38)</f>
        <v>Fitri</v>
      </c>
      <c r="C60" s="11">
        <v>2</v>
      </c>
      <c r="D60" s="11" t="str">
        <f>Setup!$B$6</f>
        <v>381</v>
      </c>
      <c r="E60" s="12">
        <v>9</v>
      </c>
      <c r="F60" s="12">
        <v>11</v>
      </c>
      <c r="G60" s="12">
        <v>11</v>
      </c>
      <c r="H60" s="12">
        <v>7</v>
      </c>
      <c r="I60" s="12">
        <v>3</v>
      </c>
      <c r="J60" s="12">
        <v>4</v>
      </c>
      <c r="K60" s="12">
        <v>7</v>
      </c>
      <c r="L60" s="11" t="str">
        <f t="shared" si="1"/>
        <v>OK</v>
      </c>
    </row>
    <row r="61" spans="1:12" ht="15" customHeight="1" x14ac:dyDescent="0.2">
      <c r="A61" s="11" t="s">
        <v>69</v>
      </c>
      <c r="B61" s="11" t="str">
        <f>IF(Setup!$B$39="","",Setup!$B$39)</f>
        <v>Gilang</v>
      </c>
      <c r="C61" s="11">
        <v>1</v>
      </c>
      <c r="D61" s="11" t="str">
        <f>Setup!$B$5</f>
        <v>527</v>
      </c>
      <c r="E61" s="12">
        <v>7</v>
      </c>
      <c r="F61" s="12">
        <v>7</v>
      </c>
      <c r="G61" s="12">
        <v>10</v>
      </c>
      <c r="H61" s="12">
        <v>9</v>
      </c>
      <c r="I61" s="12">
        <v>11</v>
      </c>
      <c r="J61" s="12">
        <v>5</v>
      </c>
      <c r="K61" s="12">
        <v>7</v>
      </c>
      <c r="L61" s="11" t="str">
        <f t="shared" si="1"/>
        <v>OK</v>
      </c>
    </row>
    <row r="62" spans="1:12" ht="15" customHeight="1" x14ac:dyDescent="0.2">
      <c r="A62" s="11" t="s">
        <v>69</v>
      </c>
      <c r="B62" s="11" t="str">
        <f>IF(Setup!$B$39="","",Setup!$B$39)</f>
        <v>Gilang</v>
      </c>
      <c r="C62" s="11">
        <v>2</v>
      </c>
      <c r="D62" s="11" t="str">
        <f>Setup!$B$6</f>
        <v>381</v>
      </c>
      <c r="E62" s="12">
        <v>10</v>
      </c>
      <c r="F62" s="12">
        <v>6</v>
      </c>
      <c r="G62" s="12">
        <v>10</v>
      </c>
      <c r="H62" s="12">
        <v>7</v>
      </c>
      <c r="I62" s="12">
        <v>5</v>
      </c>
      <c r="J62" s="12">
        <v>8</v>
      </c>
      <c r="K62" s="12">
        <v>9</v>
      </c>
      <c r="L62" s="11" t="str">
        <f t="shared" si="1"/>
        <v>OK</v>
      </c>
    </row>
    <row r="63" spans="1:12" ht="15" customHeight="1" x14ac:dyDescent="0.2">
      <c r="A63" s="11" t="s">
        <v>71</v>
      </c>
      <c r="B63" s="11" t="str">
        <f>IF(Setup!$B$40="","",Setup!$B$40)</f>
        <v>Intan</v>
      </c>
      <c r="C63" s="11">
        <v>1</v>
      </c>
      <c r="D63" s="11" t="str">
        <f>Setup!$B$5</f>
        <v>527</v>
      </c>
      <c r="E63" s="12">
        <v>7</v>
      </c>
      <c r="F63" s="12">
        <v>6</v>
      </c>
      <c r="G63" s="12">
        <v>11</v>
      </c>
      <c r="H63" s="12">
        <v>9</v>
      </c>
      <c r="I63" s="12">
        <v>12</v>
      </c>
      <c r="J63" s="12">
        <v>6</v>
      </c>
      <c r="K63" s="12">
        <v>8</v>
      </c>
      <c r="L63" s="11" t="str">
        <f t="shared" si="1"/>
        <v>OK</v>
      </c>
    </row>
    <row r="64" spans="1:12" ht="15" customHeight="1" x14ac:dyDescent="0.2">
      <c r="A64" s="11" t="s">
        <v>71</v>
      </c>
      <c r="B64" s="11" t="str">
        <f>IF(Setup!$B$40="","",Setup!$B$40)</f>
        <v>Intan</v>
      </c>
      <c r="C64" s="11">
        <v>2</v>
      </c>
      <c r="D64" s="11" t="str">
        <f>Setup!$B$6</f>
        <v>381</v>
      </c>
      <c r="E64" s="12">
        <v>10</v>
      </c>
      <c r="F64" s="12">
        <v>11</v>
      </c>
      <c r="G64" s="12">
        <v>9</v>
      </c>
      <c r="H64" s="12">
        <v>8</v>
      </c>
      <c r="I64" s="12">
        <v>6</v>
      </c>
      <c r="J64" s="12">
        <v>3</v>
      </c>
      <c r="K64" s="12">
        <v>7</v>
      </c>
      <c r="L64" s="11" t="str">
        <f t="shared" si="1"/>
        <v>OK</v>
      </c>
    </row>
  </sheetData>
  <mergeCells count="6">
    <mergeCell ref="L3:L4"/>
    <mergeCell ref="A3:A4"/>
    <mergeCell ref="B3:B4"/>
    <mergeCell ref="C3:C4"/>
    <mergeCell ref="D3:D4"/>
    <mergeCell ref="E3:K3"/>
  </mergeCells>
  <conditionalFormatting sqref="L5:L64">
    <cfRule type="cellIs" dxfId="4" priority="2" operator="equal">
      <formula>"belum lengkap"</formula>
    </cfRule>
  </conditionalFormatting>
  <dataValidations count="1">
    <dataValidation type="decimal" showErrorMessage="1" errorTitle="Tidak valid" error="Masukkan angka 0–15." sqref="E5:K64" xr:uid="{00000000-0002-0000-0300-000000000000}">
      <formula1>0</formula1>
      <formula2>15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64"/>
  <sheetViews>
    <sheetView zoomScaleNormal="100" workbookViewId="0">
      <pane xSplit="4" ySplit="4" topLeftCell="E5" activePane="bottomRight" state="frozen"/>
      <selection pane="topRight" activeCell="T1" sqref="T1"/>
      <selection pane="bottomLeft" activeCell="A5" sqref="A5"/>
      <selection pane="bottomRight" activeCell="D12" sqref="D12"/>
    </sheetView>
  </sheetViews>
  <sheetFormatPr baseColWidth="10" defaultColWidth="8.6640625" defaultRowHeight="15" x14ac:dyDescent="0.2"/>
  <cols>
    <col min="1" max="1" width="10" customWidth="1"/>
    <col min="2" max="2" width="20" customWidth="1"/>
    <col min="3" max="3" width="8" customWidth="1"/>
    <col min="4" max="4" width="10" customWidth="1"/>
    <col min="5" max="32" width="9.5" customWidth="1"/>
    <col min="33" max="36" width="8" customWidth="1"/>
    <col min="37" max="37" width="20" customWidth="1"/>
  </cols>
  <sheetData>
    <row r="1" spans="1:37" ht="15.75" customHeight="1" x14ac:dyDescent="0.2">
      <c r="A1" s="4" t="s">
        <v>95</v>
      </c>
    </row>
    <row r="2" spans="1:37" ht="15" customHeight="1" x14ac:dyDescent="0.2">
      <c r="A2" s="5" t="s">
        <v>96</v>
      </c>
    </row>
    <row r="3" spans="1:37" ht="30" customHeight="1" x14ac:dyDescent="0.2">
      <c r="A3" s="25" t="s">
        <v>11</v>
      </c>
      <c r="B3" s="25" t="s">
        <v>75</v>
      </c>
      <c r="C3" s="25" t="s">
        <v>76</v>
      </c>
      <c r="D3" s="25" t="s">
        <v>77</v>
      </c>
      <c r="E3" s="23" t="s">
        <v>97</v>
      </c>
      <c r="F3" s="23"/>
      <c r="G3" s="23"/>
      <c r="H3" s="23"/>
      <c r="I3" s="23"/>
      <c r="J3" s="23"/>
      <c r="K3" s="23"/>
      <c r="L3" s="23"/>
      <c r="M3" s="23"/>
      <c r="N3" s="23" t="s">
        <v>98</v>
      </c>
      <c r="O3" s="23"/>
      <c r="P3" s="23"/>
      <c r="Q3" s="23"/>
      <c r="R3" s="23"/>
      <c r="S3" s="23"/>
      <c r="T3" s="23"/>
      <c r="U3" s="23"/>
      <c r="V3" s="23"/>
      <c r="W3" s="23" t="s">
        <v>99</v>
      </c>
      <c r="X3" s="23"/>
      <c r="Y3" s="23"/>
      <c r="Z3" s="23"/>
      <c r="AA3" s="23"/>
      <c r="AB3" s="23" t="s">
        <v>100</v>
      </c>
      <c r="AC3" s="23"/>
      <c r="AD3" s="23"/>
      <c r="AE3" s="23"/>
      <c r="AF3" s="23"/>
      <c r="AG3" s="24" t="s">
        <v>101</v>
      </c>
      <c r="AH3" s="24" t="s">
        <v>102</v>
      </c>
      <c r="AI3" s="24" t="s">
        <v>103</v>
      </c>
      <c r="AJ3" s="24" t="s">
        <v>104</v>
      </c>
      <c r="AK3" s="26" t="s">
        <v>81</v>
      </c>
    </row>
    <row r="4" spans="1:37" ht="30" customHeight="1" x14ac:dyDescent="0.2">
      <c r="A4" s="25"/>
      <c r="B4" s="25"/>
      <c r="C4" s="25"/>
      <c r="D4" s="25"/>
      <c r="E4" s="10" t="s">
        <v>105</v>
      </c>
      <c r="F4" s="10" t="s">
        <v>106</v>
      </c>
      <c r="G4" s="10" t="s">
        <v>107</v>
      </c>
      <c r="H4" s="10" t="s">
        <v>108</v>
      </c>
      <c r="I4" s="10" t="s">
        <v>109</v>
      </c>
      <c r="J4" s="10" t="s">
        <v>110</v>
      </c>
      <c r="K4" s="10" t="s">
        <v>111</v>
      </c>
      <c r="L4" s="10" t="s">
        <v>112</v>
      </c>
      <c r="M4" s="10" t="s">
        <v>113</v>
      </c>
      <c r="N4" s="14" t="s">
        <v>105</v>
      </c>
      <c r="O4" s="14" t="s">
        <v>106</v>
      </c>
      <c r="P4" s="14" t="s">
        <v>107</v>
      </c>
      <c r="Q4" s="14" t="s">
        <v>108</v>
      </c>
      <c r="R4" s="14" t="s">
        <v>109</v>
      </c>
      <c r="S4" s="14" t="s">
        <v>110</v>
      </c>
      <c r="T4" s="14" t="s">
        <v>111</v>
      </c>
      <c r="U4" s="14" t="s">
        <v>112</v>
      </c>
      <c r="V4" s="14" t="s">
        <v>113</v>
      </c>
      <c r="W4" s="15" t="s">
        <v>114</v>
      </c>
      <c r="X4" s="15" t="s">
        <v>115</v>
      </c>
      <c r="Y4" s="15" t="s">
        <v>113</v>
      </c>
      <c r="Z4" s="15" t="s">
        <v>116</v>
      </c>
      <c r="AA4" s="15" t="s">
        <v>117</v>
      </c>
      <c r="AB4" s="16" t="s">
        <v>118</v>
      </c>
      <c r="AC4" s="16" t="s">
        <v>119</v>
      </c>
      <c r="AD4" s="16" t="s">
        <v>120</v>
      </c>
      <c r="AE4" s="16" t="s">
        <v>121</v>
      </c>
      <c r="AF4" s="16" t="s">
        <v>122</v>
      </c>
      <c r="AG4" s="24"/>
      <c r="AH4" s="24"/>
      <c r="AI4" s="24"/>
      <c r="AJ4" s="24"/>
      <c r="AK4" s="26"/>
    </row>
    <row r="5" spans="1:37" ht="15" customHeight="1" x14ac:dyDescent="0.2">
      <c r="A5" s="11" t="s">
        <v>13</v>
      </c>
      <c r="B5" s="11" t="str">
        <f>IF(Setup!$B$11="","",Setup!$B$11)</f>
        <v>Ayu</v>
      </c>
      <c r="C5" s="11">
        <v>1</v>
      </c>
      <c r="D5" s="11" t="str">
        <f>Setup!$B$5</f>
        <v>527</v>
      </c>
      <c r="E5" s="12">
        <v>1</v>
      </c>
      <c r="F5" s="12">
        <v>1</v>
      </c>
      <c r="G5" s="12"/>
      <c r="H5" s="12">
        <v>1</v>
      </c>
      <c r="I5" s="12"/>
      <c r="J5" s="12"/>
      <c r="K5" s="12">
        <v>1</v>
      </c>
      <c r="L5" s="12"/>
      <c r="M5" s="12">
        <v>1</v>
      </c>
      <c r="N5" s="12"/>
      <c r="O5" s="12">
        <v>1</v>
      </c>
      <c r="P5" s="12">
        <v>1</v>
      </c>
      <c r="Q5" s="12"/>
      <c r="R5" s="12"/>
      <c r="S5" s="12"/>
      <c r="T5" s="12">
        <v>1</v>
      </c>
      <c r="U5" s="12"/>
      <c r="V5" s="12"/>
      <c r="W5" s="12"/>
      <c r="X5" s="12">
        <v>1</v>
      </c>
      <c r="Y5" s="12"/>
      <c r="Z5" s="12">
        <v>1</v>
      </c>
      <c r="AA5" s="12"/>
      <c r="AB5" s="12"/>
      <c r="AC5" s="12"/>
      <c r="AD5" s="12"/>
      <c r="AE5" s="12">
        <v>1</v>
      </c>
      <c r="AF5" s="12">
        <v>1</v>
      </c>
      <c r="AG5" s="11">
        <f t="shared" ref="AG5:AG36" si="0">SUM(E5:M5)</f>
        <v>5</v>
      </c>
      <c r="AH5" s="11">
        <f t="shared" ref="AH5:AH36" si="1">SUM(N5:V5)</f>
        <v>3</v>
      </c>
      <c r="AI5" s="11">
        <f t="shared" ref="AI5:AI36" si="2">SUM(W5:AA5)</f>
        <v>2</v>
      </c>
      <c r="AJ5" s="11">
        <f t="shared" ref="AJ5:AJ36" si="3">SUM(AB5:AF5)</f>
        <v>2</v>
      </c>
      <c r="AK5" s="11" t="str">
        <f t="shared" ref="AK5:AK36" si="4">IF(COUNTA(E5:AF5)=0,"kosong",IF((IF(AG5&gt;5,"n FA&gt;5 ","")&amp;IF(AH5&gt;5,"n FL&gt;5 ","")&amp;IF(AI5&gt;2,"n Taste&gt;2 ","")&amp;IF(AJ5&gt;2,"n MF&gt;2 ",""))="",IF(AG5&gt;5,"n FA&gt;5 ","")&amp;IF(AH5&gt;5,"n FL&gt;5 ","")&amp;IF(AI5&gt;2,"n Taste&gt;2 ","")&amp;IF(AJ5&gt;2,"n MF&gt;2 ","OK")))</f>
        <v>OK</v>
      </c>
    </row>
    <row r="6" spans="1:37" ht="15" customHeight="1" x14ac:dyDescent="0.2">
      <c r="A6" s="11" t="s">
        <v>13</v>
      </c>
      <c r="B6" s="11" t="str">
        <f>IF(Setup!$B$11="","",Setup!$B$11)</f>
        <v>Ayu</v>
      </c>
      <c r="C6" s="11">
        <v>2</v>
      </c>
      <c r="D6" s="11" t="str">
        <f>Setup!$B$6</f>
        <v>381</v>
      </c>
      <c r="E6" s="12"/>
      <c r="F6" s="12"/>
      <c r="G6" s="12"/>
      <c r="H6" s="12"/>
      <c r="I6" s="12"/>
      <c r="J6" s="12">
        <v>1</v>
      </c>
      <c r="K6" s="12">
        <v>1</v>
      </c>
      <c r="L6" s="12"/>
      <c r="M6" s="12">
        <v>1</v>
      </c>
      <c r="N6" s="12"/>
      <c r="O6" s="12">
        <v>1</v>
      </c>
      <c r="P6" s="12"/>
      <c r="Q6" s="12"/>
      <c r="R6" s="12"/>
      <c r="S6" s="12"/>
      <c r="T6" s="12">
        <v>1</v>
      </c>
      <c r="U6" s="12"/>
      <c r="V6" s="12"/>
      <c r="W6" s="12"/>
      <c r="X6" s="12"/>
      <c r="Y6" s="12"/>
      <c r="Z6" s="12">
        <v>1</v>
      </c>
      <c r="AA6" s="12"/>
      <c r="AB6" s="12">
        <v>1</v>
      </c>
      <c r="AC6" s="12"/>
      <c r="AD6" s="12"/>
      <c r="AE6" s="12">
        <v>1</v>
      </c>
      <c r="AF6" s="12"/>
      <c r="AG6" s="11">
        <f t="shared" si="0"/>
        <v>3</v>
      </c>
      <c r="AH6" s="11">
        <f t="shared" si="1"/>
        <v>2</v>
      </c>
      <c r="AI6" s="11">
        <f t="shared" si="2"/>
        <v>1</v>
      </c>
      <c r="AJ6" s="11">
        <f t="shared" si="3"/>
        <v>2</v>
      </c>
      <c r="AK6" s="11" t="str">
        <f t="shared" si="4"/>
        <v>OK</v>
      </c>
    </row>
    <row r="7" spans="1:37" ht="15" customHeight="1" x14ac:dyDescent="0.2">
      <c r="A7" s="11" t="s">
        <v>15</v>
      </c>
      <c r="B7" s="11" t="str">
        <f>IF(Setup!$B$12="","",Setup!$B$12)</f>
        <v>Bima</v>
      </c>
      <c r="C7" s="11">
        <v>1</v>
      </c>
      <c r="D7" s="11" t="str">
        <f>Setup!$B$5</f>
        <v>527</v>
      </c>
      <c r="E7" s="12">
        <v>1</v>
      </c>
      <c r="F7" s="12">
        <v>1</v>
      </c>
      <c r="G7" s="12"/>
      <c r="H7" s="12"/>
      <c r="I7" s="12"/>
      <c r="J7" s="12">
        <v>1</v>
      </c>
      <c r="K7" s="12">
        <v>1</v>
      </c>
      <c r="L7" s="12"/>
      <c r="M7" s="12">
        <v>1</v>
      </c>
      <c r="N7" s="12"/>
      <c r="O7" s="12">
        <v>1</v>
      </c>
      <c r="P7" s="12">
        <v>1</v>
      </c>
      <c r="Q7" s="12"/>
      <c r="R7" s="12"/>
      <c r="S7" s="12"/>
      <c r="T7" s="12"/>
      <c r="U7" s="12">
        <v>1</v>
      </c>
      <c r="V7" s="12">
        <v>1</v>
      </c>
      <c r="W7" s="12"/>
      <c r="X7" s="12">
        <v>1</v>
      </c>
      <c r="Y7" s="12"/>
      <c r="Z7" s="12"/>
      <c r="AA7" s="12"/>
      <c r="AB7" s="12"/>
      <c r="AC7" s="12"/>
      <c r="AD7" s="12">
        <v>1</v>
      </c>
      <c r="AE7" s="12"/>
      <c r="AF7" s="12"/>
      <c r="AG7" s="11">
        <f t="shared" si="0"/>
        <v>5</v>
      </c>
      <c r="AH7" s="11">
        <f t="shared" si="1"/>
        <v>4</v>
      </c>
      <c r="AI7" s="11">
        <f t="shared" si="2"/>
        <v>1</v>
      </c>
      <c r="AJ7" s="11">
        <f t="shared" si="3"/>
        <v>1</v>
      </c>
      <c r="AK7" s="11" t="str">
        <f t="shared" si="4"/>
        <v>OK</v>
      </c>
    </row>
    <row r="8" spans="1:37" ht="15" customHeight="1" x14ac:dyDescent="0.2">
      <c r="A8" s="11" t="s">
        <v>15</v>
      </c>
      <c r="B8" s="11" t="str">
        <f>IF(Setup!$B$12="","",Setup!$B$12)</f>
        <v>Bima</v>
      </c>
      <c r="C8" s="11">
        <v>2</v>
      </c>
      <c r="D8" s="11" t="str">
        <f>Setup!$B$6</f>
        <v>381</v>
      </c>
      <c r="E8" s="12"/>
      <c r="F8" s="12"/>
      <c r="G8" s="12"/>
      <c r="H8" s="12"/>
      <c r="I8" s="12">
        <v>1</v>
      </c>
      <c r="J8" s="12">
        <v>1</v>
      </c>
      <c r="K8" s="12">
        <v>1</v>
      </c>
      <c r="L8" s="12">
        <v>1</v>
      </c>
      <c r="M8" s="12"/>
      <c r="N8" s="12"/>
      <c r="O8" s="12"/>
      <c r="P8" s="12">
        <v>1</v>
      </c>
      <c r="Q8" s="12"/>
      <c r="R8" s="12"/>
      <c r="S8" s="12">
        <v>1</v>
      </c>
      <c r="T8" s="12"/>
      <c r="U8" s="12"/>
      <c r="V8" s="12"/>
      <c r="W8" s="12"/>
      <c r="X8" s="12"/>
      <c r="Y8" s="12">
        <v>1</v>
      </c>
      <c r="Z8" s="12"/>
      <c r="AA8" s="12"/>
      <c r="AB8" s="12"/>
      <c r="AC8" s="12"/>
      <c r="AD8" s="12"/>
      <c r="AE8" s="12">
        <v>1</v>
      </c>
      <c r="AF8" s="12"/>
      <c r="AG8" s="11">
        <f t="shared" si="0"/>
        <v>4</v>
      </c>
      <c r="AH8" s="11">
        <f t="shared" si="1"/>
        <v>2</v>
      </c>
      <c r="AI8" s="11">
        <f t="shared" si="2"/>
        <v>1</v>
      </c>
      <c r="AJ8" s="11">
        <f t="shared" si="3"/>
        <v>1</v>
      </c>
      <c r="AK8" s="11" t="str">
        <f t="shared" si="4"/>
        <v>OK</v>
      </c>
    </row>
    <row r="9" spans="1:37" ht="15" customHeight="1" x14ac:dyDescent="0.2">
      <c r="A9" s="11" t="s">
        <v>17</v>
      </c>
      <c r="B9" s="11" t="str">
        <f>IF(Setup!$B$13="","",Setup!$B$13)</f>
        <v>Citra</v>
      </c>
      <c r="C9" s="11">
        <v>1</v>
      </c>
      <c r="D9" s="11" t="str">
        <f>Setup!$B$5</f>
        <v>527</v>
      </c>
      <c r="E9" s="12"/>
      <c r="F9" s="12">
        <v>1</v>
      </c>
      <c r="G9" s="12"/>
      <c r="H9" s="12"/>
      <c r="I9" s="12"/>
      <c r="J9" s="12">
        <v>1</v>
      </c>
      <c r="K9" s="12"/>
      <c r="L9" s="12"/>
      <c r="M9" s="12"/>
      <c r="N9" s="12"/>
      <c r="O9" s="12">
        <v>1</v>
      </c>
      <c r="P9" s="12">
        <v>1</v>
      </c>
      <c r="Q9" s="12"/>
      <c r="R9" s="12"/>
      <c r="S9" s="12"/>
      <c r="T9" s="12"/>
      <c r="U9" s="12"/>
      <c r="V9" s="12">
        <v>1</v>
      </c>
      <c r="W9" s="12"/>
      <c r="X9" s="12"/>
      <c r="Y9" s="12">
        <v>1</v>
      </c>
      <c r="Z9" s="12">
        <v>1</v>
      </c>
      <c r="AA9" s="12"/>
      <c r="AB9" s="12"/>
      <c r="AC9" s="12">
        <v>1</v>
      </c>
      <c r="AD9" s="12"/>
      <c r="AE9" s="12"/>
      <c r="AF9" s="12"/>
      <c r="AG9" s="11">
        <f t="shared" si="0"/>
        <v>2</v>
      </c>
      <c r="AH9" s="11">
        <f t="shared" si="1"/>
        <v>3</v>
      </c>
      <c r="AI9" s="11">
        <f t="shared" si="2"/>
        <v>2</v>
      </c>
      <c r="AJ9" s="11">
        <f t="shared" si="3"/>
        <v>1</v>
      </c>
      <c r="AK9" s="11" t="str">
        <f t="shared" si="4"/>
        <v>OK</v>
      </c>
    </row>
    <row r="10" spans="1:37" ht="15" customHeight="1" x14ac:dyDescent="0.2">
      <c r="A10" s="11" t="s">
        <v>17</v>
      </c>
      <c r="B10" s="11" t="str">
        <f>IF(Setup!$B$13="","",Setup!$B$13)</f>
        <v>Citra</v>
      </c>
      <c r="C10" s="11">
        <v>2</v>
      </c>
      <c r="D10" s="11" t="str">
        <f>Setup!$B$6</f>
        <v>381</v>
      </c>
      <c r="E10" s="12"/>
      <c r="F10" s="12"/>
      <c r="G10" s="12"/>
      <c r="H10" s="12"/>
      <c r="I10" s="12"/>
      <c r="J10" s="12">
        <v>1</v>
      </c>
      <c r="K10" s="12"/>
      <c r="L10" s="12"/>
      <c r="M10" s="12"/>
      <c r="N10" s="12"/>
      <c r="O10" s="12"/>
      <c r="P10" s="12"/>
      <c r="Q10" s="12">
        <v>1</v>
      </c>
      <c r="R10" s="12"/>
      <c r="S10" s="12">
        <v>1</v>
      </c>
      <c r="T10" s="12">
        <v>1</v>
      </c>
      <c r="U10" s="12"/>
      <c r="V10" s="12">
        <v>1</v>
      </c>
      <c r="W10" s="12"/>
      <c r="X10" s="12"/>
      <c r="Y10" s="12"/>
      <c r="Z10" s="12">
        <v>1</v>
      </c>
      <c r="AA10" s="12"/>
      <c r="AB10" s="12"/>
      <c r="AC10" s="12">
        <v>1</v>
      </c>
      <c r="AD10" s="12"/>
      <c r="AE10" s="12">
        <v>1</v>
      </c>
      <c r="AF10" s="12"/>
      <c r="AG10" s="11">
        <f t="shared" si="0"/>
        <v>1</v>
      </c>
      <c r="AH10" s="11">
        <f t="shared" si="1"/>
        <v>4</v>
      </c>
      <c r="AI10" s="11">
        <f t="shared" si="2"/>
        <v>1</v>
      </c>
      <c r="AJ10" s="11">
        <f t="shared" si="3"/>
        <v>2</v>
      </c>
      <c r="AK10" s="11" t="str">
        <f t="shared" si="4"/>
        <v>OK</v>
      </c>
    </row>
    <row r="11" spans="1:37" ht="15" customHeight="1" x14ac:dyDescent="0.2">
      <c r="A11" s="11" t="s">
        <v>19</v>
      </c>
      <c r="B11" s="11" t="str">
        <f>IF(Setup!$B$14="","",Setup!$B$14)</f>
        <v>Dewi</v>
      </c>
      <c r="C11" s="11">
        <v>1</v>
      </c>
      <c r="D11" s="11" t="str">
        <f>Setup!$B$5</f>
        <v>527</v>
      </c>
      <c r="E11" s="12">
        <v>1</v>
      </c>
      <c r="F11" s="12">
        <v>1</v>
      </c>
      <c r="G11" s="12"/>
      <c r="H11" s="12"/>
      <c r="I11" s="12"/>
      <c r="J11" s="12"/>
      <c r="K11" s="12"/>
      <c r="L11" s="12"/>
      <c r="M11" s="12">
        <v>1</v>
      </c>
      <c r="N11" s="12">
        <v>1</v>
      </c>
      <c r="O11" s="12"/>
      <c r="P11" s="12"/>
      <c r="Q11" s="12"/>
      <c r="R11" s="12"/>
      <c r="S11" s="12">
        <v>1</v>
      </c>
      <c r="T11" s="12"/>
      <c r="U11" s="12"/>
      <c r="V11" s="12">
        <v>1</v>
      </c>
      <c r="W11" s="12"/>
      <c r="X11" s="12"/>
      <c r="Y11" s="12"/>
      <c r="Z11" s="12">
        <v>1</v>
      </c>
      <c r="AA11" s="12"/>
      <c r="AB11" s="12"/>
      <c r="AC11" s="12"/>
      <c r="AD11" s="12"/>
      <c r="AE11" s="12"/>
      <c r="AF11" s="12"/>
      <c r="AG11" s="11">
        <f t="shared" si="0"/>
        <v>3</v>
      </c>
      <c r="AH11" s="11">
        <f t="shared" si="1"/>
        <v>3</v>
      </c>
      <c r="AI11" s="11">
        <f t="shared" si="2"/>
        <v>1</v>
      </c>
      <c r="AJ11" s="11">
        <f t="shared" si="3"/>
        <v>0</v>
      </c>
      <c r="AK11" s="11" t="str">
        <f t="shared" si="4"/>
        <v>OK</v>
      </c>
    </row>
    <row r="12" spans="1:37" ht="15" customHeight="1" x14ac:dyDescent="0.2">
      <c r="A12" s="11" t="s">
        <v>19</v>
      </c>
      <c r="B12" s="11" t="str">
        <f>IF(Setup!$B$14="","",Setup!$B$14)</f>
        <v>Dewi</v>
      </c>
      <c r="C12" s="11">
        <v>2</v>
      </c>
      <c r="D12" s="11" t="str">
        <f>Setup!$B$6</f>
        <v>381</v>
      </c>
      <c r="E12" s="12"/>
      <c r="F12" s="12"/>
      <c r="G12" s="12"/>
      <c r="H12" s="12"/>
      <c r="I12" s="12"/>
      <c r="J12" s="12">
        <v>1</v>
      </c>
      <c r="K12" s="12">
        <v>1</v>
      </c>
      <c r="L12" s="12">
        <v>1</v>
      </c>
      <c r="M12" s="12"/>
      <c r="N12" s="12"/>
      <c r="O12" s="12"/>
      <c r="P12" s="12">
        <v>1</v>
      </c>
      <c r="Q12" s="12"/>
      <c r="R12" s="12"/>
      <c r="S12" s="12"/>
      <c r="T12" s="12">
        <v>1</v>
      </c>
      <c r="U12" s="12"/>
      <c r="V12" s="12"/>
      <c r="W12" s="12"/>
      <c r="X12" s="12"/>
      <c r="Y12" s="12"/>
      <c r="Z12" s="12">
        <v>1</v>
      </c>
      <c r="AA12" s="12"/>
      <c r="AB12" s="12"/>
      <c r="AC12" s="12"/>
      <c r="AD12" s="12"/>
      <c r="AE12" s="12">
        <v>1</v>
      </c>
      <c r="AF12" s="12"/>
      <c r="AG12" s="11">
        <f t="shared" si="0"/>
        <v>3</v>
      </c>
      <c r="AH12" s="11">
        <f t="shared" si="1"/>
        <v>2</v>
      </c>
      <c r="AI12" s="11">
        <f t="shared" si="2"/>
        <v>1</v>
      </c>
      <c r="AJ12" s="11">
        <f t="shared" si="3"/>
        <v>1</v>
      </c>
      <c r="AK12" s="11" t="str">
        <f t="shared" si="4"/>
        <v>OK</v>
      </c>
    </row>
    <row r="13" spans="1:37" ht="15" customHeight="1" x14ac:dyDescent="0.2">
      <c r="A13" s="11" t="s">
        <v>21</v>
      </c>
      <c r="B13" s="11" t="str">
        <f>IF(Setup!$B$15="","",Setup!$B$15)</f>
        <v>Eka</v>
      </c>
      <c r="C13" s="11">
        <v>1</v>
      </c>
      <c r="D13" s="11" t="str">
        <f>Setup!$B$5</f>
        <v>527</v>
      </c>
      <c r="E13" s="12">
        <v>1</v>
      </c>
      <c r="F13" s="12">
        <v>1</v>
      </c>
      <c r="G13" s="12">
        <v>1</v>
      </c>
      <c r="H13" s="12"/>
      <c r="I13" s="12"/>
      <c r="J13" s="12"/>
      <c r="K13" s="12"/>
      <c r="L13" s="12"/>
      <c r="M13" s="12">
        <v>1</v>
      </c>
      <c r="N13" s="12"/>
      <c r="O13" s="12">
        <v>1</v>
      </c>
      <c r="P13" s="12"/>
      <c r="Q13" s="12"/>
      <c r="R13" s="12"/>
      <c r="S13" s="12"/>
      <c r="T13" s="12"/>
      <c r="U13" s="12"/>
      <c r="V13" s="12">
        <v>1</v>
      </c>
      <c r="W13" s="12"/>
      <c r="X13" s="12">
        <v>1</v>
      </c>
      <c r="Y13" s="12"/>
      <c r="Z13" s="12"/>
      <c r="AA13" s="12"/>
      <c r="AB13" s="12">
        <v>1</v>
      </c>
      <c r="AC13" s="12"/>
      <c r="AD13" s="12"/>
      <c r="AE13" s="12"/>
      <c r="AF13" s="12"/>
      <c r="AG13" s="11">
        <f t="shared" si="0"/>
        <v>4</v>
      </c>
      <c r="AH13" s="11">
        <f t="shared" si="1"/>
        <v>2</v>
      </c>
      <c r="AI13" s="11">
        <f t="shared" si="2"/>
        <v>1</v>
      </c>
      <c r="AJ13" s="11">
        <f t="shared" si="3"/>
        <v>1</v>
      </c>
      <c r="AK13" s="11" t="str">
        <f t="shared" si="4"/>
        <v>OK</v>
      </c>
    </row>
    <row r="14" spans="1:37" ht="15" customHeight="1" x14ac:dyDescent="0.2">
      <c r="A14" s="11" t="s">
        <v>21</v>
      </c>
      <c r="B14" s="11" t="str">
        <f>IF(Setup!$B$15="","",Setup!$B$15)</f>
        <v>Eka</v>
      </c>
      <c r="C14" s="11">
        <v>2</v>
      </c>
      <c r="D14" s="11" t="str">
        <f>Setup!$B$6</f>
        <v>381</v>
      </c>
      <c r="E14" s="12"/>
      <c r="F14" s="12"/>
      <c r="G14" s="12">
        <v>1</v>
      </c>
      <c r="H14" s="12"/>
      <c r="I14" s="12">
        <v>1</v>
      </c>
      <c r="J14" s="12">
        <v>1</v>
      </c>
      <c r="K14" s="12">
        <v>1</v>
      </c>
      <c r="L14" s="12">
        <v>1</v>
      </c>
      <c r="M14" s="12"/>
      <c r="N14" s="12"/>
      <c r="O14" s="12"/>
      <c r="P14" s="12"/>
      <c r="Q14" s="12"/>
      <c r="R14" s="12"/>
      <c r="S14" s="12">
        <v>1</v>
      </c>
      <c r="T14" s="12"/>
      <c r="U14" s="12"/>
      <c r="V14" s="12"/>
      <c r="W14" s="12"/>
      <c r="X14" s="12"/>
      <c r="Y14" s="12"/>
      <c r="Z14" s="12">
        <v>1</v>
      </c>
      <c r="AA14" s="12">
        <v>1</v>
      </c>
      <c r="AB14" s="12"/>
      <c r="AC14" s="12"/>
      <c r="AD14" s="12"/>
      <c r="AE14" s="12"/>
      <c r="AF14" s="12">
        <v>1</v>
      </c>
      <c r="AG14" s="11">
        <f t="shared" si="0"/>
        <v>5</v>
      </c>
      <c r="AH14" s="11">
        <f t="shared" si="1"/>
        <v>1</v>
      </c>
      <c r="AI14" s="11">
        <f t="shared" si="2"/>
        <v>2</v>
      </c>
      <c r="AJ14" s="11">
        <f t="shared" si="3"/>
        <v>1</v>
      </c>
      <c r="AK14" s="11" t="str">
        <f t="shared" si="4"/>
        <v>OK</v>
      </c>
    </row>
    <row r="15" spans="1:37" ht="15" customHeight="1" x14ac:dyDescent="0.2">
      <c r="A15" s="11" t="s">
        <v>23</v>
      </c>
      <c r="B15" s="11" t="str">
        <f>IF(Setup!$B$16="","",Setup!$B$16)</f>
        <v>Fajar</v>
      </c>
      <c r="C15" s="11">
        <v>1</v>
      </c>
      <c r="D15" s="11" t="str">
        <f>Setup!$B$5</f>
        <v>527</v>
      </c>
      <c r="E15" s="12"/>
      <c r="F15" s="12"/>
      <c r="G15" s="12">
        <v>1</v>
      </c>
      <c r="H15" s="12"/>
      <c r="I15" s="12"/>
      <c r="J15" s="12"/>
      <c r="K15" s="12"/>
      <c r="L15" s="12"/>
      <c r="M15" s="12">
        <v>1</v>
      </c>
      <c r="N15" s="12"/>
      <c r="O15" s="12">
        <v>1</v>
      </c>
      <c r="P15" s="12"/>
      <c r="Q15" s="12"/>
      <c r="R15" s="12"/>
      <c r="S15" s="12"/>
      <c r="T15" s="12">
        <v>1</v>
      </c>
      <c r="U15" s="12"/>
      <c r="V15" s="12">
        <v>1</v>
      </c>
      <c r="W15" s="12"/>
      <c r="X15" s="12"/>
      <c r="Y15" s="12">
        <v>1</v>
      </c>
      <c r="Z15" s="12"/>
      <c r="AA15" s="12"/>
      <c r="AB15" s="12">
        <v>1</v>
      </c>
      <c r="AC15" s="12"/>
      <c r="AD15" s="12">
        <v>1</v>
      </c>
      <c r="AE15" s="12"/>
      <c r="AF15" s="12"/>
      <c r="AG15" s="11">
        <f t="shared" si="0"/>
        <v>2</v>
      </c>
      <c r="AH15" s="11">
        <f t="shared" si="1"/>
        <v>3</v>
      </c>
      <c r="AI15" s="11">
        <f t="shared" si="2"/>
        <v>1</v>
      </c>
      <c r="AJ15" s="11">
        <f t="shared" si="3"/>
        <v>2</v>
      </c>
      <c r="AK15" s="11" t="str">
        <f t="shared" si="4"/>
        <v>OK</v>
      </c>
    </row>
    <row r="16" spans="1:37" ht="15" customHeight="1" x14ac:dyDescent="0.2">
      <c r="A16" s="11" t="s">
        <v>23</v>
      </c>
      <c r="B16" s="11" t="str">
        <f>IF(Setup!$B$16="","",Setup!$B$16)</f>
        <v>Fajar</v>
      </c>
      <c r="C16" s="11">
        <v>2</v>
      </c>
      <c r="D16" s="11" t="str">
        <f>Setup!$B$6</f>
        <v>381</v>
      </c>
      <c r="E16" s="12"/>
      <c r="F16" s="12"/>
      <c r="G16" s="12"/>
      <c r="H16" s="12"/>
      <c r="I16" s="12"/>
      <c r="J16" s="12">
        <v>1</v>
      </c>
      <c r="K16" s="12"/>
      <c r="L16" s="12"/>
      <c r="M16" s="12"/>
      <c r="N16" s="12"/>
      <c r="O16" s="12"/>
      <c r="P16" s="12">
        <v>1</v>
      </c>
      <c r="Q16" s="12"/>
      <c r="R16" s="12">
        <v>1</v>
      </c>
      <c r="S16" s="12">
        <v>1</v>
      </c>
      <c r="T16" s="12">
        <v>1</v>
      </c>
      <c r="U16" s="12"/>
      <c r="V16" s="12"/>
      <c r="W16" s="12"/>
      <c r="X16" s="12"/>
      <c r="Y16" s="12"/>
      <c r="Z16" s="12">
        <v>1</v>
      </c>
      <c r="AA16" s="12"/>
      <c r="AB16" s="12"/>
      <c r="AC16" s="12"/>
      <c r="AD16" s="12"/>
      <c r="AE16" s="12">
        <v>1</v>
      </c>
      <c r="AF16" s="12">
        <v>1</v>
      </c>
      <c r="AG16" s="11">
        <f t="shared" si="0"/>
        <v>1</v>
      </c>
      <c r="AH16" s="11">
        <f t="shared" si="1"/>
        <v>4</v>
      </c>
      <c r="AI16" s="11">
        <f t="shared" si="2"/>
        <v>1</v>
      </c>
      <c r="AJ16" s="11">
        <f t="shared" si="3"/>
        <v>2</v>
      </c>
      <c r="AK16" s="11" t="str">
        <f t="shared" si="4"/>
        <v>OK</v>
      </c>
    </row>
    <row r="17" spans="1:37" ht="15" customHeight="1" x14ac:dyDescent="0.2">
      <c r="A17" s="11" t="s">
        <v>25</v>
      </c>
      <c r="B17" s="11" t="str">
        <f>IF(Setup!$B$17="","",Setup!$B$17)</f>
        <v>Gita</v>
      </c>
      <c r="C17" s="11">
        <v>1</v>
      </c>
      <c r="D17" s="11" t="str">
        <f>Setup!$B$5</f>
        <v>527</v>
      </c>
      <c r="E17" s="12">
        <v>1</v>
      </c>
      <c r="F17" s="12">
        <v>1</v>
      </c>
      <c r="G17" s="12">
        <v>1</v>
      </c>
      <c r="H17" s="12">
        <v>1</v>
      </c>
      <c r="I17" s="12"/>
      <c r="J17" s="12"/>
      <c r="K17" s="12"/>
      <c r="L17" s="12"/>
      <c r="M17" s="12">
        <v>1</v>
      </c>
      <c r="N17" s="12">
        <v>1</v>
      </c>
      <c r="O17" s="12">
        <v>1</v>
      </c>
      <c r="P17" s="12">
        <v>1</v>
      </c>
      <c r="Q17" s="12"/>
      <c r="R17" s="12"/>
      <c r="S17" s="12"/>
      <c r="T17" s="12"/>
      <c r="U17" s="12"/>
      <c r="V17" s="12"/>
      <c r="W17" s="12"/>
      <c r="X17" s="12">
        <v>1</v>
      </c>
      <c r="Y17" s="12"/>
      <c r="Z17" s="12">
        <v>1</v>
      </c>
      <c r="AA17" s="12"/>
      <c r="AB17" s="12"/>
      <c r="AC17" s="12"/>
      <c r="AD17" s="12">
        <v>1</v>
      </c>
      <c r="AE17" s="12">
        <v>1</v>
      </c>
      <c r="AF17" s="12"/>
      <c r="AG17" s="11">
        <f t="shared" si="0"/>
        <v>5</v>
      </c>
      <c r="AH17" s="11">
        <f t="shared" si="1"/>
        <v>3</v>
      </c>
      <c r="AI17" s="11">
        <f t="shared" si="2"/>
        <v>2</v>
      </c>
      <c r="AJ17" s="11">
        <f t="shared" si="3"/>
        <v>2</v>
      </c>
      <c r="AK17" s="11" t="str">
        <f t="shared" si="4"/>
        <v>OK</v>
      </c>
    </row>
    <row r="18" spans="1:37" ht="15" customHeight="1" x14ac:dyDescent="0.2">
      <c r="A18" s="11" t="s">
        <v>25</v>
      </c>
      <c r="B18" s="11" t="str">
        <f>IF(Setup!$B$17="","",Setup!$B$17)</f>
        <v>Gita</v>
      </c>
      <c r="C18" s="11">
        <v>2</v>
      </c>
      <c r="D18" s="11" t="str">
        <f>Setup!$B$6</f>
        <v>381</v>
      </c>
      <c r="E18" s="12"/>
      <c r="F18" s="12"/>
      <c r="G18" s="12"/>
      <c r="H18" s="12">
        <v>1</v>
      </c>
      <c r="I18" s="12">
        <v>1</v>
      </c>
      <c r="J18" s="12"/>
      <c r="K18" s="12">
        <v>1</v>
      </c>
      <c r="L18" s="12">
        <v>1</v>
      </c>
      <c r="M18" s="12">
        <v>1</v>
      </c>
      <c r="N18" s="12"/>
      <c r="O18" s="12"/>
      <c r="P18" s="12">
        <v>1</v>
      </c>
      <c r="Q18" s="12"/>
      <c r="R18" s="12"/>
      <c r="S18" s="12">
        <v>1</v>
      </c>
      <c r="T18" s="12">
        <v>1</v>
      </c>
      <c r="U18" s="12">
        <v>1</v>
      </c>
      <c r="V18" s="12"/>
      <c r="W18" s="12"/>
      <c r="X18" s="12"/>
      <c r="Y18" s="12"/>
      <c r="Z18" s="12">
        <v>1</v>
      </c>
      <c r="AA18" s="12"/>
      <c r="AB18" s="12"/>
      <c r="AC18" s="12">
        <v>1</v>
      </c>
      <c r="AD18" s="12"/>
      <c r="AE18" s="12">
        <v>1</v>
      </c>
      <c r="AF18" s="12"/>
      <c r="AG18" s="11">
        <f t="shared" si="0"/>
        <v>5</v>
      </c>
      <c r="AH18" s="11">
        <f t="shared" si="1"/>
        <v>4</v>
      </c>
      <c r="AI18" s="11">
        <f t="shared" si="2"/>
        <v>1</v>
      </c>
      <c r="AJ18" s="11">
        <f t="shared" si="3"/>
        <v>2</v>
      </c>
      <c r="AK18" s="11" t="str">
        <f t="shared" si="4"/>
        <v>OK</v>
      </c>
    </row>
    <row r="19" spans="1:37" ht="15" customHeight="1" x14ac:dyDescent="0.2">
      <c r="A19" s="11" t="s">
        <v>27</v>
      </c>
      <c r="B19" s="11" t="str">
        <f>IF(Setup!$B$18="","",Setup!$B$18)</f>
        <v>Hana</v>
      </c>
      <c r="C19" s="11">
        <v>1</v>
      </c>
      <c r="D19" s="11" t="str">
        <f>Setup!$B$5</f>
        <v>527</v>
      </c>
      <c r="E19" s="12">
        <v>1</v>
      </c>
      <c r="F19" s="12">
        <v>1</v>
      </c>
      <c r="G19" s="12"/>
      <c r="H19" s="12"/>
      <c r="I19" s="12"/>
      <c r="J19" s="12"/>
      <c r="K19" s="12"/>
      <c r="L19" s="12">
        <v>1</v>
      </c>
      <c r="M19" s="12">
        <v>1</v>
      </c>
      <c r="N19" s="12"/>
      <c r="O19" s="12">
        <v>1</v>
      </c>
      <c r="P19" s="12"/>
      <c r="Q19" s="12"/>
      <c r="R19" s="12"/>
      <c r="S19" s="12"/>
      <c r="T19" s="12"/>
      <c r="U19" s="12"/>
      <c r="V19" s="12"/>
      <c r="W19" s="12"/>
      <c r="X19" s="12"/>
      <c r="Y19" s="12">
        <v>1</v>
      </c>
      <c r="Z19" s="12"/>
      <c r="AA19" s="12"/>
      <c r="AB19" s="12"/>
      <c r="AC19" s="12"/>
      <c r="AD19" s="12"/>
      <c r="AE19" s="12">
        <v>1</v>
      </c>
      <c r="AF19" s="12"/>
      <c r="AG19" s="11">
        <f t="shared" si="0"/>
        <v>4</v>
      </c>
      <c r="AH19" s="11">
        <f t="shared" si="1"/>
        <v>1</v>
      </c>
      <c r="AI19" s="11">
        <f t="shared" si="2"/>
        <v>1</v>
      </c>
      <c r="AJ19" s="11">
        <f t="shared" si="3"/>
        <v>1</v>
      </c>
      <c r="AK19" s="11" t="str">
        <f t="shared" si="4"/>
        <v>OK</v>
      </c>
    </row>
    <row r="20" spans="1:37" ht="15" customHeight="1" x14ac:dyDescent="0.2">
      <c r="A20" s="11" t="s">
        <v>27</v>
      </c>
      <c r="B20" s="11" t="str">
        <f>IF(Setup!$B$18="","",Setup!$B$18)</f>
        <v>Hana</v>
      </c>
      <c r="C20" s="11">
        <v>2</v>
      </c>
      <c r="D20" s="11" t="str">
        <f>Setup!$B$6</f>
        <v>381</v>
      </c>
      <c r="E20" s="12"/>
      <c r="F20" s="12"/>
      <c r="G20" s="12"/>
      <c r="H20" s="12"/>
      <c r="I20" s="12"/>
      <c r="J20" s="12">
        <v>1</v>
      </c>
      <c r="K20" s="12"/>
      <c r="L20" s="12"/>
      <c r="M20" s="12"/>
      <c r="N20" s="12"/>
      <c r="O20" s="12">
        <v>1</v>
      </c>
      <c r="P20" s="12"/>
      <c r="Q20" s="12">
        <v>1</v>
      </c>
      <c r="R20" s="12">
        <v>1</v>
      </c>
      <c r="S20" s="12">
        <v>1</v>
      </c>
      <c r="T20" s="12">
        <v>1</v>
      </c>
      <c r="U20" s="12"/>
      <c r="V20" s="12"/>
      <c r="W20" s="12"/>
      <c r="X20" s="12"/>
      <c r="Y20" s="12"/>
      <c r="Z20" s="12">
        <v>1</v>
      </c>
      <c r="AA20" s="12">
        <v>1</v>
      </c>
      <c r="AB20" s="12"/>
      <c r="AC20" s="12">
        <v>1</v>
      </c>
      <c r="AD20" s="12"/>
      <c r="AE20" s="12"/>
      <c r="AF20" s="12">
        <v>1</v>
      </c>
      <c r="AG20" s="11">
        <f t="shared" si="0"/>
        <v>1</v>
      </c>
      <c r="AH20" s="11">
        <f t="shared" si="1"/>
        <v>5</v>
      </c>
      <c r="AI20" s="11">
        <f t="shared" si="2"/>
        <v>2</v>
      </c>
      <c r="AJ20" s="11">
        <f t="shared" si="3"/>
        <v>2</v>
      </c>
      <c r="AK20" s="11" t="str">
        <f t="shared" si="4"/>
        <v>OK</v>
      </c>
    </row>
    <row r="21" spans="1:37" ht="15" customHeight="1" x14ac:dyDescent="0.2">
      <c r="A21" s="11" t="s">
        <v>29</v>
      </c>
      <c r="B21" s="11" t="str">
        <f>IF(Setup!$B$19="","",Setup!$B$19)</f>
        <v>Indra</v>
      </c>
      <c r="C21" s="11">
        <v>1</v>
      </c>
      <c r="D21" s="11" t="str">
        <f>Setup!$B$5</f>
        <v>527</v>
      </c>
      <c r="E21" s="12">
        <v>1</v>
      </c>
      <c r="F21" s="12">
        <v>1</v>
      </c>
      <c r="G21" s="12"/>
      <c r="H21" s="12"/>
      <c r="I21" s="12"/>
      <c r="J21" s="12"/>
      <c r="K21" s="12"/>
      <c r="L21" s="12"/>
      <c r="M21" s="12">
        <v>1</v>
      </c>
      <c r="N21" s="12"/>
      <c r="O21" s="12">
        <v>1</v>
      </c>
      <c r="P21" s="12"/>
      <c r="Q21" s="12"/>
      <c r="R21" s="12"/>
      <c r="S21" s="12"/>
      <c r="T21" s="12"/>
      <c r="U21" s="12"/>
      <c r="V21" s="12">
        <v>1</v>
      </c>
      <c r="W21" s="12"/>
      <c r="X21" s="12">
        <v>1</v>
      </c>
      <c r="Y21" s="12"/>
      <c r="Z21" s="12"/>
      <c r="AA21" s="12"/>
      <c r="AB21" s="12"/>
      <c r="AC21" s="12">
        <v>1</v>
      </c>
      <c r="AD21" s="12"/>
      <c r="AE21" s="12">
        <v>1</v>
      </c>
      <c r="AF21" s="12"/>
      <c r="AG21" s="11">
        <f t="shared" si="0"/>
        <v>3</v>
      </c>
      <c r="AH21" s="11">
        <f t="shared" si="1"/>
        <v>2</v>
      </c>
      <c r="AI21" s="11">
        <f t="shared" si="2"/>
        <v>1</v>
      </c>
      <c r="AJ21" s="11">
        <f t="shared" si="3"/>
        <v>2</v>
      </c>
      <c r="AK21" s="11" t="str">
        <f t="shared" si="4"/>
        <v>OK</v>
      </c>
    </row>
    <row r="22" spans="1:37" ht="15" customHeight="1" x14ac:dyDescent="0.2">
      <c r="A22" s="11" t="s">
        <v>29</v>
      </c>
      <c r="B22" s="11" t="str">
        <f>IF(Setup!$B$19="","",Setup!$B$19)</f>
        <v>Indra</v>
      </c>
      <c r="C22" s="11">
        <v>2</v>
      </c>
      <c r="D22" s="11" t="str">
        <f>Setup!$B$6</f>
        <v>381</v>
      </c>
      <c r="E22" s="12"/>
      <c r="F22" s="12"/>
      <c r="G22" s="12"/>
      <c r="H22" s="12"/>
      <c r="I22" s="12"/>
      <c r="J22" s="12">
        <v>1</v>
      </c>
      <c r="K22" s="12"/>
      <c r="L22" s="12"/>
      <c r="M22" s="12"/>
      <c r="N22" s="12"/>
      <c r="O22" s="12"/>
      <c r="P22" s="12"/>
      <c r="Q22" s="12"/>
      <c r="R22" s="12"/>
      <c r="S22" s="12">
        <v>1</v>
      </c>
      <c r="T22" s="12">
        <v>1</v>
      </c>
      <c r="U22" s="12">
        <v>1</v>
      </c>
      <c r="V22" s="12"/>
      <c r="W22" s="12"/>
      <c r="X22" s="12">
        <v>1</v>
      </c>
      <c r="Y22" s="12"/>
      <c r="Z22" s="12">
        <v>1</v>
      </c>
      <c r="AA22" s="12"/>
      <c r="AB22" s="12"/>
      <c r="AC22" s="12">
        <v>1</v>
      </c>
      <c r="AD22" s="12">
        <v>1</v>
      </c>
      <c r="AE22" s="12"/>
      <c r="AF22" s="12"/>
      <c r="AG22" s="11">
        <f t="shared" si="0"/>
        <v>1</v>
      </c>
      <c r="AH22" s="11">
        <f t="shared" si="1"/>
        <v>3</v>
      </c>
      <c r="AI22" s="11">
        <f t="shared" si="2"/>
        <v>2</v>
      </c>
      <c r="AJ22" s="11">
        <f t="shared" si="3"/>
        <v>2</v>
      </c>
      <c r="AK22" s="11" t="str">
        <f t="shared" si="4"/>
        <v>OK</v>
      </c>
    </row>
    <row r="23" spans="1:37" ht="15" customHeight="1" x14ac:dyDescent="0.2">
      <c r="A23" s="11" t="s">
        <v>31</v>
      </c>
      <c r="B23" s="11" t="str">
        <f>IF(Setup!$B$20="","",Setup!$B$20)</f>
        <v>Joko</v>
      </c>
      <c r="C23" s="11">
        <v>1</v>
      </c>
      <c r="D23" s="11" t="str">
        <f>Setup!$B$5</f>
        <v>527</v>
      </c>
      <c r="E23" s="12">
        <v>1</v>
      </c>
      <c r="F23" s="12">
        <v>1</v>
      </c>
      <c r="G23" s="12"/>
      <c r="H23" s="12">
        <v>1</v>
      </c>
      <c r="I23" s="12"/>
      <c r="J23" s="12"/>
      <c r="K23" s="12"/>
      <c r="L23" s="12"/>
      <c r="M23" s="12">
        <v>1</v>
      </c>
      <c r="N23" s="12">
        <v>1</v>
      </c>
      <c r="O23" s="12">
        <v>1</v>
      </c>
      <c r="P23" s="12"/>
      <c r="Q23" s="12"/>
      <c r="R23" s="12"/>
      <c r="S23" s="12"/>
      <c r="T23" s="12"/>
      <c r="U23" s="12"/>
      <c r="V23" s="12">
        <v>1</v>
      </c>
      <c r="W23" s="12"/>
      <c r="X23" s="12">
        <v>1</v>
      </c>
      <c r="Y23" s="12"/>
      <c r="Z23" s="12"/>
      <c r="AA23" s="12"/>
      <c r="AB23" s="12"/>
      <c r="AC23" s="12"/>
      <c r="AD23" s="12">
        <v>1</v>
      </c>
      <c r="AE23" s="12">
        <v>1</v>
      </c>
      <c r="AF23" s="12"/>
      <c r="AG23" s="11">
        <f t="shared" si="0"/>
        <v>4</v>
      </c>
      <c r="AH23" s="11">
        <f t="shared" si="1"/>
        <v>3</v>
      </c>
      <c r="AI23" s="11">
        <f t="shared" si="2"/>
        <v>1</v>
      </c>
      <c r="AJ23" s="11">
        <f t="shared" si="3"/>
        <v>2</v>
      </c>
      <c r="AK23" s="11" t="str">
        <f t="shared" si="4"/>
        <v>OK</v>
      </c>
    </row>
    <row r="24" spans="1:37" ht="15" customHeight="1" x14ac:dyDescent="0.2">
      <c r="A24" s="11" t="s">
        <v>31</v>
      </c>
      <c r="B24" s="11" t="str">
        <f>IF(Setup!$B$20="","",Setup!$B$20)</f>
        <v>Joko</v>
      </c>
      <c r="C24" s="11">
        <v>2</v>
      </c>
      <c r="D24" s="11" t="str">
        <f>Setup!$B$6</f>
        <v>381</v>
      </c>
      <c r="E24" s="12"/>
      <c r="F24" s="12"/>
      <c r="G24" s="12"/>
      <c r="H24" s="12"/>
      <c r="I24" s="12"/>
      <c r="J24" s="12">
        <v>1</v>
      </c>
      <c r="K24" s="12">
        <v>1</v>
      </c>
      <c r="L24" s="12">
        <v>1</v>
      </c>
      <c r="M24" s="12">
        <v>1</v>
      </c>
      <c r="N24" s="12"/>
      <c r="O24" s="12"/>
      <c r="P24" s="12"/>
      <c r="Q24" s="12"/>
      <c r="R24" s="12">
        <v>1</v>
      </c>
      <c r="S24" s="12">
        <v>1</v>
      </c>
      <c r="T24" s="12"/>
      <c r="U24" s="12">
        <v>1</v>
      </c>
      <c r="V24" s="12"/>
      <c r="W24" s="12"/>
      <c r="X24" s="12"/>
      <c r="Y24" s="12"/>
      <c r="Z24" s="12">
        <v>1</v>
      </c>
      <c r="AA24" s="12"/>
      <c r="AB24" s="12">
        <v>1</v>
      </c>
      <c r="AC24" s="12">
        <v>1</v>
      </c>
      <c r="AD24" s="12"/>
      <c r="AE24" s="12"/>
      <c r="AF24" s="12"/>
      <c r="AG24" s="11">
        <f t="shared" si="0"/>
        <v>4</v>
      </c>
      <c r="AH24" s="11">
        <f t="shared" si="1"/>
        <v>3</v>
      </c>
      <c r="AI24" s="11">
        <f t="shared" si="2"/>
        <v>1</v>
      </c>
      <c r="AJ24" s="11">
        <f t="shared" si="3"/>
        <v>2</v>
      </c>
      <c r="AK24" s="11" t="str">
        <f t="shared" si="4"/>
        <v>OK</v>
      </c>
    </row>
    <row r="25" spans="1:37" ht="15" customHeight="1" x14ac:dyDescent="0.2">
      <c r="A25" s="11" t="s">
        <v>33</v>
      </c>
      <c r="B25" s="11" t="str">
        <f>IF(Setup!$B$21="","",Setup!$B$21)</f>
        <v>Kirana</v>
      </c>
      <c r="C25" s="11">
        <v>1</v>
      </c>
      <c r="D25" s="11" t="str">
        <f>Setup!$B$5</f>
        <v>527</v>
      </c>
      <c r="E25" s="12">
        <v>1</v>
      </c>
      <c r="F25" s="12">
        <v>1</v>
      </c>
      <c r="G25" s="12">
        <v>1</v>
      </c>
      <c r="H25" s="12"/>
      <c r="I25" s="12"/>
      <c r="J25" s="12"/>
      <c r="K25" s="12"/>
      <c r="L25" s="12">
        <v>1</v>
      </c>
      <c r="M25" s="12"/>
      <c r="N25" s="12"/>
      <c r="O25" s="12"/>
      <c r="P25" s="12"/>
      <c r="Q25" s="12"/>
      <c r="R25" s="12"/>
      <c r="S25" s="12"/>
      <c r="T25" s="12">
        <v>1</v>
      </c>
      <c r="U25" s="12"/>
      <c r="V25" s="12"/>
      <c r="W25" s="12"/>
      <c r="X25" s="12"/>
      <c r="Y25" s="12">
        <v>1</v>
      </c>
      <c r="Z25" s="12"/>
      <c r="AA25" s="12"/>
      <c r="AB25" s="12"/>
      <c r="AC25" s="12"/>
      <c r="AD25" s="12">
        <v>1</v>
      </c>
      <c r="AE25" s="12"/>
      <c r="AF25" s="12"/>
      <c r="AG25" s="11">
        <f t="shared" si="0"/>
        <v>4</v>
      </c>
      <c r="AH25" s="11">
        <f t="shared" si="1"/>
        <v>1</v>
      </c>
      <c r="AI25" s="11">
        <f t="shared" si="2"/>
        <v>1</v>
      </c>
      <c r="AJ25" s="11">
        <f t="shared" si="3"/>
        <v>1</v>
      </c>
      <c r="AK25" s="11" t="str">
        <f t="shared" si="4"/>
        <v>OK</v>
      </c>
    </row>
    <row r="26" spans="1:37" ht="15" customHeight="1" x14ac:dyDescent="0.2">
      <c r="A26" s="11" t="s">
        <v>33</v>
      </c>
      <c r="B26" s="11" t="str">
        <f>IF(Setup!$B$21="","",Setup!$B$21)</f>
        <v>Kirana</v>
      </c>
      <c r="C26" s="11">
        <v>2</v>
      </c>
      <c r="D26" s="11" t="str">
        <f>Setup!$B$6</f>
        <v>381</v>
      </c>
      <c r="E26" s="12"/>
      <c r="F26" s="12"/>
      <c r="G26" s="12"/>
      <c r="H26" s="12"/>
      <c r="I26" s="12"/>
      <c r="J26" s="12">
        <v>1</v>
      </c>
      <c r="K26" s="12">
        <v>1</v>
      </c>
      <c r="L26" s="12">
        <v>1</v>
      </c>
      <c r="M26" s="12"/>
      <c r="N26" s="12"/>
      <c r="O26" s="12"/>
      <c r="P26" s="12">
        <v>1</v>
      </c>
      <c r="Q26" s="12"/>
      <c r="R26" s="12"/>
      <c r="S26" s="12">
        <v>1</v>
      </c>
      <c r="T26" s="12"/>
      <c r="U26" s="12">
        <v>1</v>
      </c>
      <c r="V26" s="12">
        <v>1</v>
      </c>
      <c r="W26" s="12"/>
      <c r="X26" s="12"/>
      <c r="Y26" s="12">
        <v>1</v>
      </c>
      <c r="Z26" s="12">
        <v>1</v>
      </c>
      <c r="AA26" s="12"/>
      <c r="AB26" s="12">
        <v>1</v>
      </c>
      <c r="AC26" s="12"/>
      <c r="AD26" s="12"/>
      <c r="AE26" s="12"/>
      <c r="AF26" s="12"/>
      <c r="AG26" s="11">
        <f t="shared" si="0"/>
        <v>3</v>
      </c>
      <c r="AH26" s="11">
        <f t="shared" si="1"/>
        <v>4</v>
      </c>
      <c r="AI26" s="11">
        <f t="shared" si="2"/>
        <v>2</v>
      </c>
      <c r="AJ26" s="11">
        <f t="shared" si="3"/>
        <v>1</v>
      </c>
      <c r="AK26" s="11" t="str">
        <f t="shared" si="4"/>
        <v>OK</v>
      </c>
    </row>
    <row r="27" spans="1:37" ht="15" customHeight="1" x14ac:dyDescent="0.2">
      <c r="A27" s="11" t="s">
        <v>35</v>
      </c>
      <c r="B27" s="11" t="str">
        <f>IF(Setup!$B$22="","",Setup!$B$22)</f>
        <v>Lutfi</v>
      </c>
      <c r="C27" s="11">
        <v>1</v>
      </c>
      <c r="D27" s="11" t="str">
        <f>Setup!$B$5</f>
        <v>527</v>
      </c>
      <c r="E27" s="12">
        <v>1</v>
      </c>
      <c r="F27" s="12">
        <v>1</v>
      </c>
      <c r="G27" s="12">
        <v>1</v>
      </c>
      <c r="H27" s="12"/>
      <c r="I27" s="12"/>
      <c r="J27" s="12"/>
      <c r="K27" s="12">
        <v>1</v>
      </c>
      <c r="L27" s="12"/>
      <c r="M27" s="12"/>
      <c r="N27" s="12"/>
      <c r="O27" s="12">
        <v>1</v>
      </c>
      <c r="P27" s="12">
        <v>1</v>
      </c>
      <c r="Q27" s="12"/>
      <c r="R27" s="12"/>
      <c r="S27" s="12"/>
      <c r="T27" s="12"/>
      <c r="U27" s="12">
        <v>1</v>
      </c>
      <c r="V27" s="12"/>
      <c r="W27" s="12"/>
      <c r="X27" s="12">
        <v>1</v>
      </c>
      <c r="Y27" s="12"/>
      <c r="Z27" s="12"/>
      <c r="AA27" s="12"/>
      <c r="AB27" s="12"/>
      <c r="AC27" s="12"/>
      <c r="AD27" s="12">
        <v>1</v>
      </c>
      <c r="AE27" s="12">
        <v>1</v>
      </c>
      <c r="AF27" s="12"/>
      <c r="AG27" s="11">
        <f t="shared" si="0"/>
        <v>4</v>
      </c>
      <c r="AH27" s="11">
        <f t="shared" si="1"/>
        <v>3</v>
      </c>
      <c r="AI27" s="11">
        <f t="shared" si="2"/>
        <v>1</v>
      </c>
      <c r="AJ27" s="11">
        <f t="shared" si="3"/>
        <v>2</v>
      </c>
      <c r="AK27" s="11" t="str">
        <f t="shared" si="4"/>
        <v>OK</v>
      </c>
    </row>
    <row r="28" spans="1:37" ht="15" customHeight="1" x14ac:dyDescent="0.2">
      <c r="A28" s="11" t="s">
        <v>35</v>
      </c>
      <c r="B28" s="11" t="str">
        <f>IF(Setup!$B$22="","",Setup!$B$22)</f>
        <v>Lutfi</v>
      </c>
      <c r="C28" s="11">
        <v>2</v>
      </c>
      <c r="D28" s="11" t="str">
        <f>Setup!$B$6</f>
        <v>381</v>
      </c>
      <c r="E28" s="12"/>
      <c r="F28" s="12"/>
      <c r="G28" s="12"/>
      <c r="H28" s="12">
        <v>1</v>
      </c>
      <c r="I28" s="12"/>
      <c r="J28" s="12"/>
      <c r="K28" s="12">
        <v>1</v>
      </c>
      <c r="L28" s="12"/>
      <c r="M28" s="12"/>
      <c r="N28" s="12"/>
      <c r="O28" s="12"/>
      <c r="P28" s="12"/>
      <c r="Q28" s="12"/>
      <c r="R28" s="12"/>
      <c r="S28" s="12">
        <v>1</v>
      </c>
      <c r="T28" s="12">
        <v>1</v>
      </c>
      <c r="U28" s="12"/>
      <c r="V28" s="12">
        <v>1</v>
      </c>
      <c r="W28" s="12"/>
      <c r="X28" s="12">
        <v>1</v>
      </c>
      <c r="Y28" s="12"/>
      <c r="Z28" s="12">
        <v>1</v>
      </c>
      <c r="AA28" s="12"/>
      <c r="AB28" s="12"/>
      <c r="AC28" s="12">
        <v>1</v>
      </c>
      <c r="AD28" s="12"/>
      <c r="AE28" s="12"/>
      <c r="AF28" s="12"/>
      <c r="AG28" s="11">
        <f t="shared" si="0"/>
        <v>2</v>
      </c>
      <c r="AH28" s="11">
        <f t="shared" si="1"/>
        <v>3</v>
      </c>
      <c r="AI28" s="11">
        <f t="shared" si="2"/>
        <v>2</v>
      </c>
      <c r="AJ28" s="11">
        <f t="shared" si="3"/>
        <v>1</v>
      </c>
      <c r="AK28" s="11" t="str">
        <f t="shared" si="4"/>
        <v>OK</v>
      </c>
    </row>
    <row r="29" spans="1:37" ht="15" customHeight="1" x14ac:dyDescent="0.2">
      <c r="A29" s="11" t="s">
        <v>37</v>
      </c>
      <c r="B29" s="11" t="str">
        <f>IF(Setup!$B$23="","",Setup!$B$23)</f>
        <v>Maya</v>
      </c>
      <c r="C29" s="11">
        <v>1</v>
      </c>
      <c r="D29" s="11" t="str">
        <f>Setup!$B$5</f>
        <v>527</v>
      </c>
      <c r="E29" s="12"/>
      <c r="F29" s="12">
        <v>1</v>
      </c>
      <c r="G29" s="12"/>
      <c r="H29" s="12">
        <v>1</v>
      </c>
      <c r="I29" s="12"/>
      <c r="J29" s="12"/>
      <c r="K29" s="12"/>
      <c r="L29" s="12"/>
      <c r="M29" s="12">
        <v>1</v>
      </c>
      <c r="N29" s="12">
        <v>1</v>
      </c>
      <c r="O29" s="12">
        <v>1</v>
      </c>
      <c r="P29" s="12">
        <v>1</v>
      </c>
      <c r="Q29" s="12">
        <v>1</v>
      </c>
      <c r="R29" s="12"/>
      <c r="S29" s="12"/>
      <c r="T29" s="12"/>
      <c r="U29" s="12"/>
      <c r="V29" s="12"/>
      <c r="W29" s="12"/>
      <c r="X29" s="12">
        <v>1</v>
      </c>
      <c r="Y29" s="12">
        <v>1</v>
      </c>
      <c r="Z29" s="12"/>
      <c r="AA29" s="12"/>
      <c r="AB29" s="12"/>
      <c r="AC29" s="12"/>
      <c r="AD29" s="12">
        <v>1</v>
      </c>
      <c r="AE29" s="12"/>
      <c r="AF29" s="12">
        <v>1</v>
      </c>
      <c r="AG29" s="11">
        <f t="shared" si="0"/>
        <v>3</v>
      </c>
      <c r="AH29" s="11">
        <f t="shared" si="1"/>
        <v>4</v>
      </c>
      <c r="AI29" s="11">
        <f t="shared" si="2"/>
        <v>2</v>
      </c>
      <c r="AJ29" s="11">
        <f t="shared" si="3"/>
        <v>2</v>
      </c>
      <c r="AK29" s="11" t="str">
        <f t="shared" si="4"/>
        <v>OK</v>
      </c>
    </row>
    <row r="30" spans="1:37" ht="15" customHeight="1" x14ac:dyDescent="0.2">
      <c r="A30" s="11" t="s">
        <v>37</v>
      </c>
      <c r="B30" s="11" t="str">
        <f>IF(Setup!$B$23="","",Setup!$B$23)</f>
        <v>Maya</v>
      </c>
      <c r="C30" s="11">
        <v>2</v>
      </c>
      <c r="D30" s="11" t="str">
        <f>Setup!$B$6</f>
        <v>381</v>
      </c>
      <c r="E30" s="12"/>
      <c r="F30" s="12"/>
      <c r="G30" s="12"/>
      <c r="H30" s="12"/>
      <c r="I30" s="12"/>
      <c r="J30" s="12">
        <v>1</v>
      </c>
      <c r="K30" s="12">
        <v>1</v>
      </c>
      <c r="L30" s="12">
        <v>1</v>
      </c>
      <c r="M30" s="12"/>
      <c r="N30" s="12"/>
      <c r="O30" s="12">
        <v>1</v>
      </c>
      <c r="P30" s="12"/>
      <c r="Q30" s="12"/>
      <c r="R30" s="12"/>
      <c r="S30" s="12">
        <v>1</v>
      </c>
      <c r="T30" s="12">
        <v>1</v>
      </c>
      <c r="U30" s="12">
        <v>1</v>
      </c>
      <c r="V30" s="12"/>
      <c r="W30" s="12"/>
      <c r="X30" s="12"/>
      <c r="Y30" s="12"/>
      <c r="Z30" s="12">
        <v>1</v>
      </c>
      <c r="AA30" s="12"/>
      <c r="AB30" s="12"/>
      <c r="AC30" s="12"/>
      <c r="AD30" s="12"/>
      <c r="AE30" s="12">
        <v>1</v>
      </c>
      <c r="AF30" s="12"/>
      <c r="AG30" s="11">
        <f t="shared" si="0"/>
        <v>3</v>
      </c>
      <c r="AH30" s="11">
        <f t="shared" si="1"/>
        <v>4</v>
      </c>
      <c r="AI30" s="11">
        <f t="shared" si="2"/>
        <v>1</v>
      </c>
      <c r="AJ30" s="11">
        <f t="shared" si="3"/>
        <v>1</v>
      </c>
      <c r="AK30" s="11" t="str">
        <f t="shared" si="4"/>
        <v>OK</v>
      </c>
    </row>
    <row r="31" spans="1:37" ht="15" customHeight="1" x14ac:dyDescent="0.2">
      <c r="A31" s="11" t="s">
        <v>39</v>
      </c>
      <c r="B31" s="11" t="str">
        <f>IF(Setup!$B$24="","",Setup!$B$24)</f>
        <v>Nanda</v>
      </c>
      <c r="C31" s="11">
        <v>1</v>
      </c>
      <c r="D31" s="11" t="str">
        <f>Setup!$B$5</f>
        <v>527</v>
      </c>
      <c r="E31" s="12"/>
      <c r="F31" s="12">
        <v>1</v>
      </c>
      <c r="G31" s="12"/>
      <c r="H31" s="12"/>
      <c r="I31" s="12"/>
      <c r="J31" s="12"/>
      <c r="K31" s="12"/>
      <c r="L31" s="12"/>
      <c r="M31" s="12">
        <v>1</v>
      </c>
      <c r="N31" s="12"/>
      <c r="O31" s="12">
        <v>1</v>
      </c>
      <c r="P31" s="12">
        <v>1</v>
      </c>
      <c r="Q31" s="12"/>
      <c r="R31" s="12"/>
      <c r="S31" s="12"/>
      <c r="T31" s="12"/>
      <c r="U31" s="12"/>
      <c r="V31" s="12">
        <v>1</v>
      </c>
      <c r="W31" s="12"/>
      <c r="X31" s="12">
        <v>1</v>
      </c>
      <c r="Y31" s="12"/>
      <c r="Z31" s="12"/>
      <c r="AA31" s="12"/>
      <c r="AB31" s="12"/>
      <c r="AC31" s="12"/>
      <c r="AD31" s="12">
        <v>1</v>
      </c>
      <c r="AE31" s="12"/>
      <c r="AF31" s="12"/>
      <c r="AG31" s="11">
        <f t="shared" si="0"/>
        <v>2</v>
      </c>
      <c r="AH31" s="11">
        <f t="shared" si="1"/>
        <v>3</v>
      </c>
      <c r="AI31" s="11">
        <f t="shared" si="2"/>
        <v>1</v>
      </c>
      <c r="AJ31" s="11">
        <f t="shared" si="3"/>
        <v>1</v>
      </c>
      <c r="AK31" s="11" t="str">
        <f t="shared" si="4"/>
        <v>OK</v>
      </c>
    </row>
    <row r="32" spans="1:37" ht="15" customHeight="1" x14ac:dyDescent="0.2">
      <c r="A32" s="11" t="s">
        <v>39</v>
      </c>
      <c r="B32" s="11" t="str">
        <f>IF(Setup!$B$24="","",Setup!$B$24)</f>
        <v>Nanda</v>
      </c>
      <c r="C32" s="11">
        <v>2</v>
      </c>
      <c r="D32" s="11" t="str">
        <f>Setup!$B$6</f>
        <v>381</v>
      </c>
      <c r="E32" s="12"/>
      <c r="F32" s="12"/>
      <c r="G32" s="12"/>
      <c r="H32" s="12">
        <v>1</v>
      </c>
      <c r="I32" s="12"/>
      <c r="J32" s="12">
        <v>1</v>
      </c>
      <c r="K32" s="12"/>
      <c r="L32" s="12">
        <v>1</v>
      </c>
      <c r="M32" s="12"/>
      <c r="N32" s="12"/>
      <c r="O32" s="12"/>
      <c r="P32" s="12"/>
      <c r="Q32" s="12"/>
      <c r="R32" s="12">
        <v>1</v>
      </c>
      <c r="S32" s="12">
        <v>1</v>
      </c>
      <c r="T32" s="12">
        <v>1</v>
      </c>
      <c r="U32" s="12"/>
      <c r="V32" s="12"/>
      <c r="W32" s="12"/>
      <c r="X32" s="12"/>
      <c r="Y32" s="12"/>
      <c r="Z32" s="12"/>
      <c r="AA32" s="12">
        <v>1</v>
      </c>
      <c r="AB32" s="12">
        <v>1</v>
      </c>
      <c r="AC32" s="12">
        <v>1</v>
      </c>
      <c r="AD32" s="12"/>
      <c r="AE32" s="12"/>
      <c r="AF32" s="12"/>
      <c r="AG32" s="11">
        <f t="shared" si="0"/>
        <v>3</v>
      </c>
      <c r="AH32" s="11">
        <f t="shared" si="1"/>
        <v>3</v>
      </c>
      <c r="AI32" s="11">
        <f t="shared" si="2"/>
        <v>1</v>
      </c>
      <c r="AJ32" s="11">
        <f t="shared" si="3"/>
        <v>2</v>
      </c>
      <c r="AK32" s="11" t="str">
        <f t="shared" si="4"/>
        <v>OK</v>
      </c>
    </row>
    <row r="33" spans="1:37" ht="15" customHeight="1" x14ac:dyDescent="0.2">
      <c r="A33" s="11" t="s">
        <v>41</v>
      </c>
      <c r="B33" s="11" t="str">
        <f>IF(Setup!$B$25="","",Setup!$B$25)</f>
        <v>Oki</v>
      </c>
      <c r="C33" s="11">
        <v>1</v>
      </c>
      <c r="D33" s="11" t="str">
        <f>Setup!$B$5</f>
        <v>527</v>
      </c>
      <c r="E33" s="12"/>
      <c r="F33" s="12">
        <v>1</v>
      </c>
      <c r="G33" s="12">
        <v>1</v>
      </c>
      <c r="H33" s="12"/>
      <c r="I33" s="12"/>
      <c r="J33" s="12"/>
      <c r="K33" s="12"/>
      <c r="L33" s="12"/>
      <c r="M33" s="12"/>
      <c r="N33" s="12"/>
      <c r="O33" s="12">
        <v>1</v>
      </c>
      <c r="P33" s="12"/>
      <c r="Q33" s="12"/>
      <c r="R33" s="12"/>
      <c r="S33" s="12"/>
      <c r="T33" s="12">
        <v>1</v>
      </c>
      <c r="U33" s="12"/>
      <c r="V33" s="12"/>
      <c r="W33" s="12"/>
      <c r="X33" s="12">
        <v>1</v>
      </c>
      <c r="Y33" s="12"/>
      <c r="Z33" s="12"/>
      <c r="AA33" s="12"/>
      <c r="AB33" s="12"/>
      <c r="AC33" s="12"/>
      <c r="AD33" s="12">
        <v>1</v>
      </c>
      <c r="AE33" s="12"/>
      <c r="AF33" s="12"/>
      <c r="AG33" s="11">
        <f t="shared" si="0"/>
        <v>2</v>
      </c>
      <c r="AH33" s="11">
        <f t="shared" si="1"/>
        <v>2</v>
      </c>
      <c r="AI33" s="11">
        <f t="shared" si="2"/>
        <v>1</v>
      </c>
      <c r="AJ33" s="11">
        <f t="shared" si="3"/>
        <v>1</v>
      </c>
      <c r="AK33" s="11" t="str">
        <f t="shared" si="4"/>
        <v>OK</v>
      </c>
    </row>
    <row r="34" spans="1:37" ht="15" customHeight="1" x14ac:dyDescent="0.2">
      <c r="A34" s="11" t="s">
        <v>41</v>
      </c>
      <c r="B34" s="11" t="str">
        <f>IF(Setup!$B$25="","",Setup!$B$25)</f>
        <v>Oki</v>
      </c>
      <c r="C34" s="11">
        <v>2</v>
      </c>
      <c r="D34" s="11" t="str">
        <f>Setup!$B$6</f>
        <v>381</v>
      </c>
      <c r="E34" s="12"/>
      <c r="F34" s="12"/>
      <c r="G34" s="12"/>
      <c r="H34" s="12"/>
      <c r="I34" s="12"/>
      <c r="J34" s="12">
        <v>1</v>
      </c>
      <c r="K34" s="12">
        <v>1</v>
      </c>
      <c r="L34" s="12"/>
      <c r="M34" s="12"/>
      <c r="N34" s="12">
        <v>1</v>
      </c>
      <c r="O34" s="12"/>
      <c r="P34" s="12"/>
      <c r="Q34" s="12"/>
      <c r="R34" s="12"/>
      <c r="S34" s="12">
        <v>1</v>
      </c>
      <c r="T34" s="12">
        <v>1</v>
      </c>
      <c r="U34" s="12"/>
      <c r="V34" s="12"/>
      <c r="W34" s="12"/>
      <c r="X34" s="12"/>
      <c r="Y34" s="12"/>
      <c r="Z34" s="12">
        <v>1</v>
      </c>
      <c r="AA34" s="12"/>
      <c r="AB34" s="12"/>
      <c r="AC34" s="12">
        <v>1</v>
      </c>
      <c r="AD34" s="12"/>
      <c r="AE34" s="12">
        <v>1</v>
      </c>
      <c r="AF34" s="12"/>
      <c r="AG34" s="11">
        <f t="shared" si="0"/>
        <v>2</v>
      </c>
      <c r="AH34" s="11">
        <f t="shared" si="1"/>
        <v>3</v>
      </c>
      <c r="AI34" s="11">
        <f t="shared" si="2"/>
        <v>1</v>
      </c>
      <c r="AJ34" s="11">
        <f t="shared" si="3"/>
        <v>2</v>
      </c>
      <c r="AK34" s="11" t="str">
        <f t="shared" si="4"/>
        <v>OK</v>
      </c>
    </row>
    <row r="35" spans="1:37" ht="15" customHeight="1" x14ac:dyDescent="0.2">
      <c r="A35" s="11" t="s">
        <v>43</v>
      </c>
      <c r="B35" s="11" t="str">
        <f>IF(Setup!$B$26="","",Setup!$B$26)</f>
        <v>Putri</v>
      </c>
      <c r="C35" s="11">
        <v>1</v>
      </c>
      <c r="D35" s="11" t="str">
        <f>Setup!$B$5</f>
        <v>527</v>
      </c>
      <c r="E35" s="12"/>
      <c r="F35" s="12">
        <v>1</v>
      </c>
      <c r="G35" s="12">
        <v>1</v>
      </c>
      <c r="H35" s="12">
        <v>1</v>
      </c>
      <c r="I35" s="12"/>
      <c r="J35" s="12"/>
      <c r="K35" s="12"/>
      <c r="L35" s="12"/>
      <c r="M35" s="12">
        <v>1</v>
      </c>
      <c r="N35" s="12">
        <v>1</v>
      </c>
      <c r="O35" s="12">
        <v>1</v>
      </c>
      <c r="P35" s="12">
        <v>1</v>
      </c>
      <c r="Q35" s="12"/>
      <c r="R35" s="12"/>
      <c r="S35" s="12"/>
      <c r="T35" s="12">
        <v>1</v>
      </c>
      <c r="U35" s="12"/>
      <c r="V35" s="12"/>
      <c r="W35" s="12"/>
      <c r="X35" s="12">
        <v>1</v>
      </c>
      <c r="Y35" s="12"/>
      <c r="Z35" s="12"/>
      <c r="AA35" s="12"/>
      <c r="AB35" s="12"/>
      <c r="AC35" s="12"/>
      <c r="AD35" s="12">
        <v>1</v>
      </c>
      <c r="AE35" s="12">
        <v>1</v>
      </c>
      <c r="AF35" s="12"/>
      <c r="AG35" s="11">
        <f t="shared" si="0"/>
        <v>4</v>
      </c>
      <c r="AH35" s="11">
        <f t="shared" si="1"/>
        <v>4</v>
      </c>
      <c r="AI35" s="11">
        <f t="shared" si="2"/>
        <v>1</v>
      </c>
      <c r="AJ35" s="11">
        <f t="shared" si="3"/>
        <v>2</v>
      </c>
      <c r="AK35" s="11" t="str">
        <f t="shared" si="4"/>
        <v>OK</v>
      </c>
    </row>
    <row r="36" spans="1:37" ht="15" customHeight="1" x14ac:dyDescent="0.2">
      <c r="A36" s="11" t="s">
        <v>43</v>
      </c>
      <c r="B36" s="11" t="str">
        <f>IF(Setup!$B$26="","",Setup!$B$26)</f>
        <v>Putri</v>
      </c>
      <c r="C36" s="11">
        <v>2</v>
      </c>
      <c r="D36" s="11" t="str">
        <f>Setup!$B$6</f>
        <v>381</v>
      </c>
      <c r="E36" s="12"/>
      <c r="F36" s="12"/>
      <c r="G36" s="12"/>
      <c r="H36" s="12"/>
      <c r="I36" s="12"/>
      <c r="J36" s="12">
        <v>1</v>
      </c>
      <c r="K36" s="12"/>
      <c r="L36" s="12"/>
      <c r="M36" s="12"/>
      <c r="N36" s="12"/>
      <c r="O36" s="12"/>
      <c r="P36" s="12"/>
      <c r="Q36" s="12"/>
      <c r="R36" s="12"/>
      <c r="S36" s="12">
        <v>1</v>
      </c>
      <c r="T36" s="12"/>
      <c r="U36" s="12"/>
      <c r="V36" s="12"/>
      <c r="W36" s="12"/>
      <c r="X36" s="12"/>
      <c r="Y36" s="12">
        <v>1</v>
      </c>
      <c r="Z36" s="12">
        <v>1</v>
      </c>
      <c r="AA36" s="12"/>
      <c r="AB36" s="12"/>
      <c r="AC36" s="12"/>
      <c r="AD36" s="12"/>
      <c r="AE36" s="12">
        <v>1</v>
      </c>
      <c r="AF36" s="12"/>
      <c r="AG36" s="11">
        <f t="shared" si="0"/>
        <v>1</v>
      </c>
      <c r="AH36" s="11">
        <f t="shared" si="1"/>
        <v>1</v>
      </c>
      <c r="AI36" s="11">
        <f t="shared" si="2"/>
        <v>2</v>
      </c>
      <c r="AJ36" s="11">
        <f t="shared" si="3"/>
        <v>1</v>
      </c>
      <c r="AK36" s="11" t="str">
        <f t="shared" si="4"/>
        <v>OK</v>
      </c>
    </row>
    <row r="37" spans="1:37" ht="15" customHeight="1" x14ac:dyDescent="0.2">
      <c r="A37" s="11" t="s">
        <v>45</v>
      </c>
      <c r="B37" s="11" t="str">
        <f>IF(Setup!$B$27="","",Setup!$B$27)</f>
        <v>Raka</v>
      </c>
      <c r="C37" s="11">
        <v>1</v>
      </c>
      <c r="D37" s="11" t="str">
        <f>Setup!$B$5</f>
        <v>527</v>
      </c>
      <c r="E37" s="12"/>
      <c r="F37" s="12">
        <v>1</v>
      </c>
      <c r="G37" s="12"/>
      <c r="H37" s="12"/>
      <c r="I37" s="12">
        <v>1</v>
      </c>
      <c r="J37" s="12"/>
      <c r="K37" s="12"/>
      <c r="L37" s="12"/>
      <c r="M37" s="12">
        <v>1</v>
      </c>
      <c r="N37" s="12"/>
      <c r="O37" s="12">
        <v>1</v>
      </c>
      <c r="P37" s="12"/>
      <c r="Q37" s="12"/>
      <c r="R37" s="12">
        <v>1</v>
      </c>
      <c r="S37" s="12"/>
      <c r="T37" s="12"/>
      <c r="U37" s="12"/>
      <c r="V37" s="12"/>
      <c r="W37" s="12"/>
      <c r="X37" s="12">
        <v>1</v>
      </c>
      <c r="Y37" s="12">
        <v>1</v>
      </c>
      <c r="Z37" s="12"/>
      <c r="AA37" s="12"/>
      <c r="AB37" s="12"/>
      <c r="AC37" s="12"/>
      <c r="AD37" s="12">
        <v>1</v>
      </c>
      <c r="AE37" s="12"/>
      <c r="AF37" s="12"/>
      <c r="AG37" s="11">
        <f t="shared" ref="AG37:AG64" si="5">SUM(E37:M37)</f>
        <v>3</v>
      </c>
      <c r="AH37" s="11">
        <f t="shared" ref="AH37:AH64" si="6">SUM(N37:V37)</f>
        <v>2</v>
      </c>
      <c r="AI37" s="11">
        <f t="shared" ref="AI37:AI64" si="7">SUM(W37:AA37)</f>
        <v>2</v>
      </c>
      <c r="AJ37" s="11">
        <f t="shared" ref="AJ37:AJ64" si="8">SUM(AB37:AF37)</f>
        <v>1</v>
      </c>
      <c r="AK37" s="11" t="str">
        <f t="shared" ref="AK37:AK64" si="9">IF(COUNTA(E37:AF37)=0,"kosong",IF((IF(AG37&gt;5,"n FA&gt;5 ","")&amp;IF(AH37&gt;5,"n FL&gt;5 ","")&amp;IF(AI37&gt;2,"n Taste&gt;2 ","")&amp;IF(AJ37&gt;2,"n MF&gt;2 ",""))="",IF(AG37&gt;5,"n FA&gt;5 ","")&amp;IF(AH37&gt;5,"n FL&gt;5 ","")&amp;IF(AI37&gt;2,"n Taste&gt;2 ","")&amp;IF(AJ37&gt;2,"n MF&gt;2 ","OK")))</f>
        <v>OK</v>
      </c>
    </row>
    <row r="38" spans="1:37" ht="15" customHeight="1" x14ac:dyDescent="0.2">
      <c r="A38" s="11" t="s">
        <v>45</v>
      </c>
      <c r="B38" s="11" t="str">
        <f>IF(Setup!$B$27="","",Setup!$B$27)</f>
        <v>Raka</v>
      </c>
      <c r="C38" s="11">
        <v>2</v>
      </c>
      <c r="D38" s="11" t="str">
        <f>Setup!$B$6</f>
        <v>381</v>
      </c>
      <c r="E38" s="12"/>
      <c r="F38" s="12"/>
      <c r="G38" s="12"/>
      <c r="H38" s="12"/>
      <c r="I38" s="12"/>
      <c r="J38" s="12">
        <v>1</v>
      </c>
      <c r="K38" s="12">
        <v>1</v>
      </c>
      <c r="L38" s="12"/>
      <c r="M38" s="12"/>
      <c r="N38" s="12"/>
      <c r="O38" s="12"/>
      <c r="P38" s="12"/>
      <c r="Q38" s="12"/>
      <c r="R38" s="12"/>
      <c r="S38" s="12">
        <v>1</v>
      </c>
      <c r="T38" s="12">
        <v>1</v>
      </c>
      <c r="U38" s="12">
        <v>1</v>
      </c>
      <c r="V38" s="12"/>
      <c r="W38" s="12"/>
      <c r="X38" s="12"/>
      <c r="Y38" s="12"/>
      <c r="Z38" s="12">
        <v>1</v>
      </c>
      <c r="AA38" s="12"/>
      <c r="AB38" s="12">
        <v>1</v>
      </c>
      <c r="AC38" s="12">
        <v>1</v>
      </c>
      <c r="AD38" s="12"/>
      <c r="AE38" s="12"/>
      <c r="AF38" s="12"/>
      <c r="AG38" s="11">
        <f t="shared" si="5"/>
        <v>2</v>
      </c>
      <c r="AH38" s="11">
        <f t="shared" si="6"/>
        <v>3</v>
      </c>
      <c r="AI38" s="11">
        <f t="shared" si="7"/>
        <v>1</v>
      </c>
      <c r="AJ38" s="11">
        <f t="shared" si="8"/>
        <v>2</v>
      </c>
      <c r="AK38" s="11" t="str">
        <f t="shared" si="9"/>
        <v>OK</v>
      </c>
    </row>
    <row r="39" spans="1:37" ht="15" customHeight="1" x14ac:dyDescent="0.2">
      <c r="A39" s="11" t="s">
        <v>47</v>
      </c>
      <c r="B39" s="11" t="str">
        <f>IF(Setup!$B$28="","",Setup!$B$28)</f>
        <v>Sari</v>
      </c>
      <c r="C39" s="11">
        <v>1</v>
      </c>
      <c r="D39" s="11" t="str">
        <f>Setup!$B$5</f>
        <v>527</v>
      </c>
      <c r="E39" s="12">
        <v>1</v>
      </c>
      <c r="F39" s="12"/>
      <c r="G39" s="12">
        <v>1</v>
      </c>
      <c r="H39" s="12"/>
      <c r="I39" s="12"/>
      <c r="J39" s="12"/>
      <c r="K39" s="12"/>
      <c r="L39" s="12"/>
      <c r="M39" s="12">
        <v>1</v>
      </c>
      <c r="N39" s="12">
        <v>1</v>
      </c>
      <c r="O39" s="12">
        <v>1</v>
      </c>
      <c r="P39" s="12">
        <v>1</v>
      </c>
      <c r="Q39" s="12"/>
      <c r="R39" s="12"/>
      <c r="S39" s="12"/>
      <c r="T39" s="12"/>
      <c r="U39" s="12"/>
      <c r="V39" s="12"/>
      <c r="W39" s="12"/>
      <c r="X39" s="12">
        <v>1</v>
      </c>
      <c r="Y39" s="12">
        <v>1</v>
      </c>
      <c r="Z39" s="12"/>
      <c r="AA39" s="12"/>
      <c r="AB39" s="12"/>
      <c r="AC39" s="12"/>
      <c r="AD39" s="12">
        <v>1</v>
      </c>
      <c r="AE39" s="12"/>
      <c r="AF39" s="12"/>
      <c r="AG39" s="11">
        <f t="shared" si="5"/>
        <v>3</v>
      </c>
      <c r="AH39" s="11">
        <f t="shared" si="6"/>
        <v>3</v>
      </c>
      <c r="AI39" s="11">
        <f t="shared" si="7"/>
        <v>2</v>
      </c>
      <c r="AJ39" s="11">
        <f t="shared" si="8"/>
        <v>1</v>
      </c>
      <c r="AK39" s="11" t="str">
        <f t="shared" si="9"/>
        <v>OK</v>
      </c>
    </row>
    <row r="40" spans="1:37" ht="15" customHeight="1" x14ac:dyDescent="0.2">
      <c r="A40" s="11" t="s">
        <v>47</v>
      </c>
      <c r="B40" s="11" t="str">
        <f>IF(Setup!$B$28="","",Setup!$B$28)</f>
        <v>Sari</v>
      </c>
      <c r="C40" s="11">
        <v>2</v>
      </c>
      <c r="D40" s="11" t="str">
        <f>Setup!$B$6</f>
        <v>381</v>
      </c>
      <c r="E40" s="12"/>
      <c r="F40" s="12"/>
      <c r="G40" s="12">
        <v>1</v>
      </c>
      <c r="H40" s="12"/>
      <c r="I40" s="12"/>
      <c r="J40" s="12">
        <v>1</v>
      </c>
      <c r="K40" s="12">
        <v>1</v>
      </c>
      <c r="L40" s="12">
        <v>1</v>
      </c>
      <c r="M40" s="12"/>
      <c r="N40" s="12"/>
      <c r="O40" s="12"/>
      <c r="P40" s="12"/>
      <c r="Q40" s="12">
        <v>1</v>
      </c>
      <c r="R40" s="12"/>
      <c r="S40" s="12">
        <v>1</v>
      </c>
      <c r="T40" s="12">
        <v>1</v>
      </c>
      <c r="U40" s="12"/>
      <c r="V40" s="12"/>
      <c r="W40" s="12"/>
      <c r="X40" s="12"/>
      <c r="Y40" s="12"/>
      <c r="Z40" s="12">
        <v>1</v>
      </c>
      <c r="AA40" s="12"/>
      <c r="AB40" s="12"/>
      <c r="AC40" s="12"/>
      <c r="AD40" s="12"/>
      <c r="AE40" s="12"/>
      <c r="AF40" s="12"/>
      <c r="AG40" s="11">
        <f t="shared" si="5"/>
        <v>4</v>
      </c>
      <c r="AH40" s="11">
        <f t="shared" si="6"/>
        <v>3</v>
      </c>
      <c r="AI40" s="11">
        <f t="shared" si="7"/>
        <v>1</v>
      </c>
      <c r="AJ40" s="11">
        <f t="shared" si="8"/>
        <v>0</v>
      </c>
      <c r="AK40" s="11" t="str">
        <f t="shared" si="9"/>
        <v>OK</v>
      </c>
    </row>
    <row r="41" spans="1:37" ht="15" customHeight="1" x14ac:dyDescent="0.2">
      <c r="A41" s="11" t="s">
        <v>49</v>
      </c>
      <c r="B41" s="11" t="str">
        <f>IF(Setup!$B$29="","",Setup!$B$29)</f>
        <v>Tio</v>
      </c>
      <c r="C41" s="11">
        <v>1</v>
      </c>
      <c r="D41" s="11" t="str">
        <f>Setup!$B$5</f>
        <v>527</v>
      </c>
      <c r="E41" s="12">
        <v>1</v>
      </c>
      <c r="F41" s="12">
        <v>1</v>
      </c>
      <c r="G41" s="12"/>
      <c r="H41" s="12"/>
      <c r="I41" s="12"/>
      <c r="J41" s="12"/>
      <c r="K41" s="12"/>
      <c r="L41" s="12"/>
      <c r="M41" s="12"/>
      <c r="N41" s="12"/>
      <c r="O41" s="12">
        <v>1</v>
      </c>
      <c r="P41" s="12">
        <v>1</v>
      </c>
      <c r="Q41" s="12"/>
      <c r="R41" s="12"/>
      <c r="S41" s="12"/>
      <c r="T41" s="12"/>
      <c r="U41" s="12">
        <v>1</v>
      </c>
      <c r="V41" s="12">
        <v>1</v>
      </c>
      <c r="W41" s="12"/>
      <c r="X41" s="12">
        <v>1</v>
      </c>
      <c r="Y41" s="12">
        <v>1</v>
      </c>
      <c r="Z41" s="12"/>
      <c r="AA41" s="12"/>
      <c r="AB41" s="12"/>
      <c r="AC41" s="12"/>
      <c r="AD41" s="12">
        <v>1</v>
      </c>
      <c r="AE41" s="12"/>
      <c r="AF41" s="12"/>
      <c r="AG41" s="11">
        <f t="shared" si="5"/>
        <v>2</v>
      </c>
      <c r="AH41" s="11">
        <f t="shared" si="6"/>
        <v>4</v>
      </c>
      <c r="AI41" s="11">
        <f t="shared" si="7"/>
        <v>2</v>
      </c>
      <c r="AJ41" s="11">
        <f t="shared" si="8"/>
        <v>1</v>
      </c>
      <c r="AK41" s="11" t="str">
        <f t="shared" si="9"/>
        <v>OK</v>
      </c>
    </row>
    <row r="42" spans="1:37" ht="15" customHeight="1" x14ac:dyDescent="0.2">
      <c r="A42" s="11" t="s">
        <v>49</v>
      </c>
      <c r="B42" s="11" t="str">
        <f>IF(Setup!$B$29="","",Setup!$B$29)</f>
        <v>Tio</v>
      </c>
      <c r="C42" s="11">
        <v>2</v>
      </c>
      <c r="D42" s="11" t="str">
        <f>Setup!$B$6</f>
        <v>381</v>
      </c>
      <c r="E42" s="12"/>
      <c r="F42" s="12">
        <v>1</v>
      </c>
      <c r="G42" s="12">
        <v>1</v>
      </c>
      <c r="H42" s="12"/>
      <c r="I42" s="12"/>
      <c r="J42" s="12">
        <v>1</v>
      </c>
      <c r="K42" s="12">
        <v>1</v>
      </c>
      <c r="L42" s="12">
        <v>1</v>
      </c>
      <c r="M42" s="12"/>
      <c r="N42" s="12"/>
      <c r="O42" s="12"/>
      <c r="P42" s="12"/>
      <c r="Q42" s="12"/>
      <c r="R42" s="12"/>
      <c r="S42" s="12">
        <v>1</v>
      </c>
      <c r="T42" s="12">
        <v>1</v>
      </c>
      <c r="U42" s="12">
        <v>1</v>
      </c>
      <c r="V42" s="12">
        <v>1</v>
      </c>
      <c r="W42" s="12"/>
      <c r="X42" s="12">
        <v>1</v>
      </c>
      <c r="Y42" s="12"/>
      <c r="Z42" s="12"/>
      <c r="AA42" s="12"/>
      <c r="AB42" s="12"/>
      <c r="AC42" s="12"/>
      <c r="AD42" s="12"/>
      <c r="AE42" s="12">
        <v>1</v>
      </c>
      <c r="AF42" s="12">
        <v>1</v>
      </c>
      <c r="AG42" s="11">
        <f t="shared" si="5"/>
        <v>5</v>
      </c>
      <c r="AH42" s="11">
        <f t="shared" si="6"/>
        <v>4</v>
      </c>
      <c r="AI42" s="11">
        <f t="shared" si="7"/>
        <v>1</v>
      </c>
      <c r="AJ42" s="11">
        <f t="shared" si="8"/>
        <v>2</v>
      </c>
      <c r="AK42" s="11" t="str">
        <f t="shared" si="9"/>
        <v>OK</v>
      </c>
    </row>
    <row r="43" spans="1:37" ht="15" customHeight="1" x14ac:dyDescent="0.2">
      <c r="A43" s="11" t="s">
        <v>51</v>
      </c>
      <c r="B43" s="11" t="str">
        <f>IF(Setup!$B$30="","",Setup!$B$30)</f>
        <v>Umi</v>
      </c>
      <c r="C43" s="11">
        <v>1</v>
      </c>
      <c r="D43" s="11" t="str">
        <f>Setup!$B$5</f>
        <v>527</v>
      </c>
      <c r="E43" s="12">
        <v>1</v>
      </c>
      <c r="F43" s="12">
        <v>1</v>
      </c>
      <c r="G43" s="12"/>
      <c r="H43" s="12"/>
      <c r="I43" s="12"/>
      <c r="J43" s="12"/>
      <c r="K43" s="12">
        <v>1</v>
      </c>
      <c r="L43" s="12">
        <v>1</v>
      </c>
      <c r="M43" s="12">
        <v>1</v>
      </c>
      <c r="N43" s="12">
        <v>1</v>
      </c>
      <c r="O43" s="12"/>
      <c r="P43" s="12">
        <v>1</v>
      </c>
      <c r="Q43" s="12"/>
      <c r="R43" s="12"/>
      <c r="S43" s="12"/>
      <c r="T43" s="12">
        <v>1</v>
      </c>
      <c r="U43" s="12"/>
      <c r="V43" s="12"/>
      <c r="W43" s="12"/>
      <c r="X43" s="12">
        <v>1</v>
      </c>
      <c r="Y43" s="12"/>
      <c r="Z43" s="12"/>
      <c r="AA43" s="12"/>
      <c r="AB43" s="12"/>
      <c r="AC43" s="12"/>
      <c r="AD43" s="12">
        <v>1</v>
      </c>
      <c r="AE43" s="12"/>
      <c r="AF43" s="12"/>
      <c r="AG43" s="11">
        <f t="shared" si="5"/>
        <v>5</v>
      </c>
      <c r="AH43" s="11">
        <f t="shared" si="6"/>
        <v>3</v>
      </c>
      <c r="AI43" s="11">
        <f t="shared" si="7"/>
        <v>1</v>
      </c>
      <c r="AJ43" s="11">
        <f t="shared" si="8"/>
        <v>1</v>
      </c>
      <c r="AK43" s="11" t="str">
        <f t="shared" si="9"/>
        <v>OK</v>
      </c>
    </row>
    <row r="44" spans="1:37" ht="15" customHeight="1" x14ac:dyDescent="0.2">
      <c r="A44" s="11" t="s">
        <v>51</v>
      </c>
      <c r="B44" s="11" t="str">
        <f>IF(Setup!$B$30="","",Setup!$B$30)</f>
        <v>Umi</v>
      </c>
      <c r="C44" s="11">
        <v>2</v>
      </c>
      <c r="D44" s="11" t="str">
        <f>Setup!$B$6</f>
        <v>381</v>
      </c>
      <c r="E44" s="12"/>
      <c r="F44" s="12"/>
      <c r="G44" s="12">
        <v>1</v>
      </c>
      <c r="H44" s="12"/>
      <c r="I44" s="12"/>
      <c r="J44" s="12">
        <v>1</v>
      </c>
      <c r="K44" s="12"/>
      <c r="L44" s="12">
        <v>1</v>
      </c>
      <c r="M44" s="12">
        <v>1</v>
      </c>
      <c r="N44" s="12"/>
      <c r="O44" s="12"/>
      <c r="P44" s="12"/>
      <c r="Q44" s="12"/>
      <c r="R44" s="12"/>
      <c r="S44" s="12">
        <v>1</v>
      </c>
      <c r="T44" s="12">
        <v>1</v>
      </c>
      <c r="U44" s="12">
        <v>1</v>
      </c>
      <c r="V44" s="12"/>
      <c r="W44" s="12"/>
      <c r="X44" s="12"/>
      <c r="Y44" s="12"/>
      <c r="Z44" s="12">
        <v>1</v>
      </c>
      <c r="AA44" s="12"/>
      <c r="AB44" s="12"/>
      <c r="AC44" s="12"/>
      <c r="AD44" s="12">
        <v>1</v>
      </c>
      <c r="AE44" s="12">
        <v>1</v>
      </c>
      <c r="AF44" s="12"/>
      <c r="AG44" s="11">
        <f t="shared" si="5"/>
        <v>4</v>
      </c>
      <c r="AH44" s="11">
        <f t="shared" si="6"/>
        <v>3</v>
      </c>
      <c r="AI44" s="11">
        <f t="shared" si="7"/>
        <v>1</v>
      </c>
      <c r="AJ44" s="11">
        <f t="shared" si="8"/>
        <v>2</v>
      </c>
      <c r="AK44" s="11" t="str">
        <f t="shared" si="9"/>
        <v>OK</v>
      </c>
    </row>
    <row r="45" spans="1:37" ht="15" customHeight="1" x14ac:dyDescent="0.2">
      <c r="A45" s="11" t="s">
        <v>53</v>
      </c>
      <c r="B45" s="11" t="str">
        <f>IF(Setup!$B$31="","",Setup!$B$31)</f>
        <v>Vina</v>
      </c>
      <c r="C45" s="11">
        <v>1</v>
      </c>
      <c r="D45" s="11" t="str">
        <f>Setup!$B$5</f>
        <v>527</v>
      </c>
      <c r="E45" s="12">
        <v>1</v>
      </c>
      <c r="F45" s="12">
        <v>1</v>
      </c>
      <c r="G45" s="12">
        <v>1</v>
      </c>
      <c r="H45" s="12"/>
      <c r="I45" s="12"/>
      <c r="J45" s="12"/>
      <c r="K45" s="12"/>
      <c r="L45" s="12"/>
      <c r="M45" s="12">
        <v>1</v>
      </c>
      <c r="N45" s="12">
        <v>1</v>
      </c>
      <c r="O45" s="12">
        <v>1</v>
      </c>
      <c r="P45" s="12"/>
      <c r="Q45" s="12"/>
      <c r="R45" s="12"/>
      <c r="S45" s="12">
        <v>1</v>
      </c>
      <c r="T45" s="12"/>
      <c r="U45" s="12"/>
      <c r="V45" s="12"/>
      <c r="W45" s="12"/>
      <c r="X45" s="12">
        <v>1</v>
      </c>
      <c r="Y45" s="12">
        <v>1</v>
      </c>
      <c r="Z45" s="12"/>
      <c r="AA45" s="12"/>
      <c r="AB45" s="12"/>
      <c r="AC45" s="12"/>
      <c r="AD45" s="12"/>
      <c r="AE45" s="12">
        <v>1</v>
      </c>
      <c r="AF45" s="12"/>
      <c r="AG45" s="11">
        <f t="shared" si="5"/>
        <v>4</v>
      </c>
      <c r="AH45" s="11">
        <f t="shared" si="6"/>
        <v>3</v>
      </c>
      <c r="AI45" s="11">
        <f t="shared" si="7"/>
        <v>2</v>
      </c>
      <c r="AJ45" s="11">
        <f t="shared" si="8"/>
        <v>1</v>
      </c>
      <c r="AK45" s="11" t="str">
        <f t="shared" si="9"/>
        <v>OK</v>
      </c>
    </row>
    <row r="46" spans="1:37" ht="15" customHeight="1" x14ac:dyDescent="0.2">
      <c r="A46" s="11" t="s">
        <v>53</v>
      </c>
      <c r="B46" s="11" t="str">
        <f>IF(Setup!$B$31="","",Setup!$B$31)</f>
        <v>Vina</v>
      </c>
      <c r="C46" s="11">
        <v>2</v>
      </c>
      <c r="D46" s="11" t="str">
        <f>Setup!$B$6</f>
        <v>381</v>
      </c>
      <c r="E46" s="12"/>
      <c r="F46" s="12"/>
      <c r="G46" s="12"/>
      <c r="H46" s="12">
        <v>1</v>
      </c>
      <c r="I46" s="12"/>
      <c r="J46" s="12">
        <v>1</v>
      </c>
      <c r="K46" s="12">
        <v>1</v>
      </c>
      <c r="L46" s="12"/>
      <c r="M46" s="12">
        <v>1</v>
      </c>
      <c r="N46" s="12"/>
      <c r="O46" s="12">
        <v>1</v>
      </c>
      <c r="P46" s="12"/>
      <c r="Q46" s="12">
        <v>1</v>
      </c>
      <c r="R46" s="12"/>
      <c r="S46" s="12">
        <v>1</v>
      </c>
      <c r="T46" s="12"/>
      <c r="U46" s="12">
        <v>1</v>
      </c>
      <c r="V46" s="12"/>
      <c r="W46" s="12"/>
      <c r="X46" s="12"/>
      <c r="Y46" s="12"/>
      <c r="Z46" s="12">
        <v>1</v>
      </c>
      <c r="AA46" s="12"/>
      <c r="AB46" s="12">
        <v>1</v>
      </c>
      <c r="AC46" s="12"/>
      <c r="AD46" s="12"/>
      <c r="AE46" s="12"/>
      <c r="AF46" s="12"/>
      <c r="AG46" s="11">
        <f t="shared" si="5"/>
        <v>4</v>
      </c>
      <c r="AH46" s="11">
        <f t="shared" si="6"/>
        <v>4</v>
      </c>
      <c r="AI46" s="11">
        <f t="shared" si="7"/>
        <v>1</v>
      </c>
      <c r="AJ46" s="11">
        <f t="shared" si="8"/>
        <v>1</v>
      </c>
      <c r="AK46" s="11" t="str">
        <f t="shared" si="9"/>
        <v>OK</v>
      </c>
    </row>
    <row r="47" spans="1:37" ht="15" customHeight="1" x14ac:dyDescent="0.2">
      <c r="A47" s="11" t="s">
        <v>55</v>
      </c>
      <c r="B47" s="11" t="str">
        <f>IF(Setup!$B$32="","",Setup!$B$32)</f>
        <v>Wahyu</v>
      </c>
      <c r="C47" s="11">
        <v>1</v>
      </c>
      <c r="D47" s="11" t="str">
        <f>Setup!$B$5</f>
        <v>527</v>
      </c>
      <c r="E47" s="12"/>
      <c r="F47" s="12">
        <v>1</v>
      </c>
      <c r="G47" s="12">
        <v>1</v>
      </c>
      <c r="H47" s="12"/>
      <c r="I47" s="12"/>
      <c r="J47" s="12"/>
      <c r="K47" s="12"/>
      <c r="L47" s="12"/>
      <c r="M47" s="12">
        <v>1</v>
      </c>
      <c r="N47" s="12"/>
      <c r="O47" s="12">
        <v>1</v>
      </c>
      <c r="P47" s="12">
        <v>1</v>
      </c>
      <c r="Q47" s="12"/>
      <c r="R47" s="12"/>
      <c r="S47" s="12"/>
      <c r="T47" s="12"/>
      <c r="U47" s="12"/>
      <c r="V47" s="12">
        <v>1</v>
      </c>
      <c r="W47" s="12"/>
      <c r="X47" s="12">
        <v>1</v>
      </c>
      <c r="Y47" s="12"/>
      <c r="Z47" s="12"/>
      <c r="AA47" s="12"/>
      <c r="AB47" s="12"/>
      <c r="AC47" s="12"/>
      <c r="AD47" s="12">
        <v>1</v>
      </c>
      <c r="AE47" s="12"/>
      <c r="AF47" s="12"/>
      <c r="AG47" s="11">
        <f t="shared" si="5"/>
        <v>3</v>
      </c>
      <c r="AH47" s="11">
        <f t="shared" si="6"/>
        <v>3</v>
      </c>
      <c r="AI47" s="11">
        <f t="shared" si="7"/>
        <v>1</v>
      </c>
      <c r="AJ47" s="11">
        <f t="shared" si="8"/>
        <v>1</v>
      </c>
      <c r="AK47" s="11" t="str">
        <f t="shared" si="9"/>
        <v>OK</v>
      </c>
    </row>
    <row r="48" spans="1:37" ht="15" customHeight="1" x14ac:dyDescent="0.2">
      <c r="A48" s="11" t="s">
        <v>55</v>
      </c>
      <c r="B48" s="11" t="str">
        <f>IF(Setup!$B$32="","",Setup!$B$32)</f>
        <v>Wahyu</v>
      </c>
      <c r="C48" s="11">
        <v>2</v>
      </c>
      <c r="D48" s="11" t="str">
        <f>Setup!$B$6</f>
        <v>381</v>
      </c>
      <c r="E48" s="12"/>
      <c r="F48" s="12"/>
      <c r="G48" s="12"/>
      <c r="H48" s="12"/>
      <c r="I48" s="12"/>
      <c r="J48" s="12">
        <v>1</v>
      </c>
      <c r="K48" s="12">
        <v>1</v>
      </c>
      <c r="L48" s="12">
        <v>1</v>
      </c>
      <c r="M48" s="12"/>
      <c r="N48" s="12"/>
      <c r="O48" s="12"/>
      <c r="P48" s="12"/>
      <c r="Q48" s="12"/>
      <c r="R48" s="12"/>
      <c r="S48" s="12"/>
      <c r="T48" s="12">
        <v>1</v>
      </c>
      <c r="U48" s="12"/>
      <c r="V48" s="12"/>
      <c r="W48" s="12"/>
      <c r="X48" s="12"/>
      <c r="Y48" s="12"/>
      <c r="Z48" s="12">
        <v>1</v>
      </c>
      <c r="AA48" s="12"/>
      <c r="AB48" s="12">
        <v>1</v>
      </c>
      <c r="AC48" s="12"/>
      <c r="AD48" s="12"/>
      <c r="AE48" s="12"/>
      <c r="AF48" s="12"/>
      <c r="AG48" s="11">
        <f t="shared" si="5"/>
        <v>3</v>
      </c>
      <c r="AH48" s="11">
        <f t="shared" si="6"/>
        <v>1</v>
      </c>
      <c r="AI48" s="11">
        <f t="shared" si="7"/>
        <v>1</v>
      </c>
      <c r="AJ48" s="11">
        <f t="shared" si="8"/>
        <v>1</v>
      </c>
      <c r="AK48" s="11" t="str">
        <f t="shared" si="9"/>
        <v>OK</v>
      </c>
    </row>
    <row r="49" spans="1:37" ht="15" customHeight="1" x14ac:dyDescent="0.2">
      <c r="A49" s="11" t="s">
        <v>57</v>
      </c>
      <c r="B49" s="11" t="str">
        <f>IF(Setup!$B$33="","",Setup!$B$33)</f>
        <v>Yoga</v>
      </c>
      <c r="C49" s="11">
        <v>1</v>
      </c>
      <c r="D49" s="11" t="str">
        <f>Setup!$B$5</f>
        <v>527</v>
      </c>
      <c r="E49" s="12">
        <v>1</v>
      </c>
      <c r="F49" s="12">
        <v>1</v>
      </c>
      <c r="G49" s="12">
        <v>1</v>
      </c>
      <c r="H49" s="12">
        <v>1</v>
      </c>
      <c r="I49" s="12"/>
      <c r="J49" s="12"/>
      <c r="K49" s="12">
        <v>1</v>
      </c>
      <c r="L49" s="12"/>
      <c r="M49" s="12"/>
      <c r="N49" s="12"/>
      <c r="O49" s="12">
        <v>1</v>
      </c>
      <c r="P49" s="12"/>
      <c r="Q49" s="12"/>
      <c r="R49" s="12"/>
      <c r="S49" s="12"/>
      <c r="T49" s="12"/>
      <c r="U49" s="12"/>
      <c r="V49" s="12">
        <v>1</v>
      </c>
      <c r="W49" s="12"/>
      <c r="X49" s="12">
        <v>1</v>
      </c>
      <c r="Y49" s="12"/>
      <c r="Z49" s="12">
        <v>1</v>
      </c>
      <c r="AA49" s="12"/>
      <c r="AB49" s="12"/>
      <c r="AC49" s="12"/>
      <c r="AD49" s="12">
        <v>1</v>
      </c>
      <c r="AE49" s="12"/>
      <c r="AF49" s="12"/>
      <c r="AG49" s="11">
        <f t="shared" si="5"/>
        <v>5</v>
      </c>
      <c r="AH49" s="11">
        <f t="shared" si="6"/>
        <v>2</v>
      </c>
      <c r="AI49" s="11">
        <f t="shared" si="7"/>
        <v>2</v>
      </c>
      <c r="AJ49" s="11">
        <f t="shared" si="8"/>
        <v>1</v>
      </c>
      <c r="AK49" s="11" t="str">
        <f t="shared" si="9"/>
        <v>OK</v>
      </c>
    </row>
    <row r="50" spans="1:37" ht="15" customHeight="1" x14ac:dyDescent="0.2">
      <c r="A50" s="11" t="s">
        <v>57</v>
      </c>
      <c r="B50" s="11" t="str">
        <f>IF(Setup!$B$33="","",Setup!$B$33)</f>
        <v>Yoga</v>
      </c>
      <c r="C50" s="11">
        <v>2</v>
      </c>
      <c r="D50" s="11" t="str">
        <f>Setup!$B$6</f>
        <v>381</v>
      </c>
      <c r="E50" s="12"/>
      <c r="F50" s="12"/>
      <c r="G50" s="12"/>
      <c r="H50" s="12"/>
      <c r="I50" s="12"/>
      <c r="J50" s="12">
        <v>1</v>
      </c>
      <c r="K50" s="12">
        <v>1</v>
      </c>
      <c r="L50" s="12">
        <v>1</v>
      </c>
      <c r="M50" s="12"/>
      <c r="N50" s="12"/>
      <c r="O50" s="12"/>
      <c r="P50" s="12"/>
      <c r="Q50" s="12"/>
      <c r="R50" s="12"/>
      <c r="S50" s="12"/>
      <c r="T50" s="12"/>
      <c r="U50" s="12"/>
      <c r="V50" s="12">
        <v>1</v>
      </c>
      <c r="W50" s="12"/>
      <c r="X50" s="12"/>
      <c r="Y50" s="12"/>
      <c r="Z50" s="12">
        <v>1</v>
      </c>
      <c r="AA50" s="12"/>
      <c r="AB50" s="12">
        <v>1</v>
      </c>
      <c r="AC50" s="12"/>
      <c r="AD50" s="12"/>
      <c r="AE50" s="12">
        <v>1</v>
      </c>
      <c r="AF50" s="12"/>
      <c r="AG50" s="11">
        <f t="shared" si="5"/>
        <v>3</v>
      </c>
      <c r="AH50" s="11">
        <f t="shared" si="6"/>
        <v>1</v>
      </c>
      <c r="AI50" s="11">
        <f t="shared" si="7"/>
        <v>1</v>
      </c>
      <c r="AJ50" s="11">
        <f t="shared" si="8"/>
        <v>2</v>
      </c>
      <c r="AK50" s="11" t="str">
        <f t="shared" si="9"/>
        <v>OK</v>
      </c>
    </row>
    <row r="51" spans="1:37" ht="15" customHeight="1" x14ac:dyDescent="0.2">
      <c r="A51" s="11" t="s">
        <v>59</v>
      </c>
      <c r="B51" s="11" t="str">
        <f>IF(Setup!$B$34="","",Setup!$B$34)</f>
        <v>Zahra</v>
      </c>
      <c r="C51" s="11">
        <v>1</v>
      </c>
      <c r="D51" s="11" t="str">
        <f>Setup!$B$5</f>
        <v>527</v>
      </c>
      <c r="E51" s="12"/>
      <c r="F51" s="12">
        <v>1</v>
      </c>
      <c r="G51" s="12"/>
      <c r="H51" s="12"/>
      <c r="I51" s="12">
        <v>1</v>
      </c>
      <c r="J51" s="12">
        <v>1</v>
      </c>
      <c r="K51" s="12"/>
      <c r="L51" s="12"/>
      <c r="M51" s="12">
        <v>1</v>
      </c>
      <c r="N51" s="12"/>
      <c r="O51" s="12"/>
      <c r="P51" s="12"/>
      <c r="Q51" s="12"/>
      <c r="R51" s="12"/>
      <c r="S51" s="12"/>
      <c r="T51" s="12">
        <v>1</v>
      </c>
      <c r="U51" s="12"/>
      <c r="V51" s="12">
        <v>1</v>
      </c>
      <c r="W51" s="12"/>
      <c r="X51" s="12"/>
      <c r="Y51" s="12"/>
      <c r="Z51" s="12">
        <v>1</v>
      </c>
      <c r="AA51" s="12"/>
      <c r="AB51" s="12"/>
      <c r="AC51" s="12"/>
      <c r="AD51" s="12"/>
      <c r="AE51" s="12"/>
      <c r="AF51" s="12"/>
      <c r="AG51" s="11">
        <f t="shared" si="5"/>
        <v>4</v>
      </c>
      <c r="AH51" s="11">
        <f t="shared" si="6"/>
        <v>2</v>
      </c>
      <c r="AI51" s="11">
        <f t="shared" si="7"/>
        <v>1</v>
      </c>
      <c r="AJ51" s="11">
        <f t="shared" si="8"/>
        <v>0</v>
      </c>
      <c r="AK51" s="11" t="str">
        <f t="shared" si="9"/>
        <v>OK</v>
      </c>
    </row>
    <row r="52" spans="1:37" ht="15" customHeight="1" x14ac:dyDescent="0.2">
      <c r="A52" s="11" t="s">
        <v>59</v>
      </c>
      <c r="B52" s="11" t="str">
        <f>IF(Setup!$B$34="","",Setup!$B$34)</f>
        <v>Zahra</v>
      </c>
      <c r="C52" s="11">
        <v>2</v>
      </c>
      <c r="D52" s="11" t="str">
        <f>Setup!$B$6</f>
        <v>381</v>
      </c>
      <c r="E52" s="12"/>
      <c r="F52" s="12"/>
      <c r="G52" s="12"/>
      <c r="H52" s="12"/>
      <c r="I52" s="12">
        <v>1</v>
      </c>
      <c r="J52" s="12">
        <v>1</v>
      </c>
      <c r="K52" s="12">
        <v>1</v>
      </c>
      <c r="L52" s="12">
        <v>1</v>
      </c>
      <c r="M52" s="12"/>
      <c r="N52" s="12"/>
      <c r="O52" s="12"/>
      <c r="P52" s="12"/>
      <c r="Q52" s="12"/>
      <c r="R52" s="12"/>
      <c r="S52" s="12">
        <v>1</v>
      </c>
      <c r="T52" s="12"/>
      <c r="U52" s="12"/>
      <c r="V52" s="12"/>
      <c r="W52" s="12"/>
      <c r="X52" s="12"/>
      <c r="Y52" s="12"/>
      <c r="Z52" s="12">
        <v>1</v>
      </c>
      <c r="AA52" s="12">
        <v>1</v>
      </c>
      <c r="AB52" s="12">
        <v>1</v>
      </c>
      <c r="AC52" s="12"/>
      <c r="AD52" s="12"/>
      <c r="AE52" s="12"/>
      <c r="AF52" s="12"/>
      <c r="AG52" s="11">
        <f t="shared" si="5"/>
        <v>4</v>
      </c>
      <c r="AH52" s="11">
        <f t="shared" si="6"/>
        <v>1</v>
      </c>
      <c r="AI52" s="11">
        <f t="shared" si="7"/>
        <v>2</v>
      </c>
      <c r="AJ52" s="11">
        <f t="shared" si="8"/>
        <v>1</v>
      </c>
      <c r="AK52" s="11" t="str">
        <f t="shared" si="9"/>
        <v>OK</v>
      </c>
    </row>
    <row r="53" spans="1:37" ht="15" customHeight="1" x14ac:dyDescent="0.2">
      <c r="A53" s="11" t="s">
        <v>61</v>
      </c>
      <c r="B53" s="11" t="str">
        <f>IF(Setup!$B$35="","",Setup!$B$35)</f>
        <v>Arif</v>
      </c>
      <c r="C53" s="11">
        <v>1</v>
      </c>
      <c r="D53" s="11" t="str">
        <f>Setup!$B$5</f>
        <v>527</v>
      </c>
      <c r="E53" s="12"/>
      <c r="F53" s="12">
        <v>1</v>
      </c>
      <c r="G53" s="12">
        <v>1</v>
      </c>
      <c r="H53" s="12"/>
      <c r="I53" s="12"/>
      <c r="J53" s="12"/>
      <c r="K53" s="12">
        <v>1</v>
      </c>
      <c r="L53" s="12"/>
      <c r="M53" s="12">
        <v>1</v>
      </c>
      <c r="N53" s="12">
        <v>1</v>
      </c>
      <c r="O53" s="12"/>
      <c r="P53" s="12">
        <v>1</v>
      </c>
      <c r="Q53" s="12"/>
      <c r="R53" s="12"/>
      <c r="S53" s="12"/>
      <c r="T53" s="12"/>
      <c r="U53" s="12"/>
      <c r="V53" s="12">
        <v>1</v>
      </c>
      <c r="W53" s="12"/>
      <c r="X53" s="12"/>
      <c r="Y53" s="12">
        <v>1</v>
      </c>
      <c r="Z53" s="12"/>
      <c r="AA53" s="12"/>
      <c r="AB53" s="12"/>
      <c r="AC53" s="12">
        <v>1</v>
      </c>
      <c r="AD53" s="12"/>
      <c r="AE53" s="12"/>
      <c r="AF53" s="12"/>
      <c r="AG53" s="11">
        <f t="shared" si="5"/>
        <v>4</v>
      </c>
      <c r="AH53" s="11">
        <f t="shared" si="6"/>
        <v>3</v>
      </c>
      <c r="AI53" s="11">
        <f t="shared" si="7"/>
        <v>1</v>
      </c>
      <c r="AJ53" s="11">
        <f t="shared" si="8"/>
        <v>1</v>
      </c>
      <c r="AK53" s="11" t="str">
        <f t="shared" si="9"/>
        <v>OK</v>
      </c>
    </row>
    <row r="54" spans="1:37" ht="15" customHeight="1" x14ac:dyDescent="0.2">
      <c r="A54" s="11" t="s">
        <v>61</v>
      </c>
      <c r="B54" s="11" t="str">
        <f>IF(Setup!$B$35="","",Setup!$B$35)</f>
        <v>Arif</v>
      </c>
      <c r="C54" s="11">
        <v>2</v>
      </c>
      <c r="D54" s="11" t="str">
        <f>Setup!$B$6</f>
        <v>381</v>
      </c>
      <c r="E54" s="12"/>
      <c r="F54" s="12"/>
      <c r="G54" s="12"/>
      <c r="H54" s="12"/>
      <c r="I54" s="12"/>
      <c r="J54" s="12">
        <v>1</v>
      </c>
      <c r="K54" s="12">
        <v>1</v>
      </c>
      <c r="L54" s="12">
        <v>1</v>
      </c>
      <c r="M54" s="12"/>
      <c r="N54" s="12"/>
      <c r="O54" s="12"/>
      <c r="P54" s="12"/>
      <c r="Q54" s="12"/>
      <c r="R54" s="12"/>
      <c r="S54" s="12">
        <v>1</v>
      </c>
      <c r="T54" s="12"/>
      <c r="U54" s="12"/>
      <c r="V54" s="12"/>
      <c r="W54" s="12"/>
      <c r="X54" s="12"/>
      <c r="Y54" s="12"/>
      <c r="Z54" s="12">
        <v>1</v>
      </c>
      <c r="AA54" s="12"/>
      <c r="AB54" s="12">
        <v>1</v>
      </c>
      <c r="AC54" s="12"/>
      <c r="AD54" s="12"/>
      <c r="AE54" s="12"/>
      <c r="AF54" s="12"/>
      <c r="AG54" s="11">
        <f t="shared" si="5"/>
        <v>3</v>
      </c>
      <c r="AH54" s="11">
        <f t="shared" si="6"/>
        <v>1</v>
      </c>
      <c r="AI54" s="11">
        <f t="shared" si="7"/>
        <v>1</v>
      </c>
      <c r="AJ54" s="11">
        <f t="shared" si="8"/>
        <v>1</v>
      </c>
      <c r="AK54" s="11" t="str">
        <f t="shared" si="9"/>
        <v>OK</v>
      </c>
    </row>
    <row r="55" spans="1:37" ht="15" customHeight="1" x14ac:dyDescent="0.2">
      <c r="A55" s="11" t="s">
        <v>63</v>
      </c>
      <c r="B55" s="11" t="str">
        <f>IF(Setup!$B$36="","",Setup!$B$36)</f>
        <v>Bella</v>
      </c>
      <c r="C55" s="11">
        <v>1</v>
      </c>
      <c r="D55" s="11" t="str">
        <f>Setup!$B$5</f>
        <v>527</v>
      </c>
      <c r="E55" s="12"/>
      <c r="F55" s="12">
        <v>1</v>
      </c>
      <c r="G55" s="12"/>
      <c r="H55" s="12"/>
      <c r="I55" s="12"/>
      <c r="J55" s="12"/>
      <c r="K55" s="12"/>
      <c r="L55" s="12">
        <v>1</v>
      </c>
      <c r="M55" s="12"/>
      <c r="N55" s="12"/>
      <c r="O55" s="12"/>
      <c r="P55" s="12"/>
      <c r="Q55" s="12"/>
      <c r="R55" s="12"/>
      <c r="S55" s="12"/>
      <c r="T55" s="12"/>
      <c r="U55" s="12">
        <v>1</v>
      </c>
      <c r="V55" s="12"/>
      <c r="W55" s="12"/>
      <c r="X55" s="12">
        <v>1</v>
      </c>
      <c r="Y55" s="12"/>
      <c r="Z55" s="12">
        <v>1</v>
      </c>
      <c r="AA55" s="12"/>
      <c r="AB55" s="12"/>
      <c r="AC55" s="12"/>
      <c r="AD55" s="12">
        <v>1</v>
      </c>
      <c r="AE55" s="12"/>
      <c r="AF55" s="12"/>
      <c r="AG55" s="11">
        <f t="shared" si="5"/>
        <v>2</v>
      </c>
      <c r="AH55" s="11">
        <f t="shared" si="6"/>
        <v>1</v>
      </c>
      <c r="AI55" s="11">
        <f t="shared" si="7"/>
        <v>2</v>
      </c>
      <c r="AJ55" s="11">
        <f t="shared" si="8"/>
        <v>1</v>
      </c>
      <c r="AK55" s="11" t="str">
        <f t="shared" si="9"/>
        <v>OK</v>
      </c>
    </row>
    <row r="56" spans="1:37" ht="15" customHeight="1" x14ac:dyDescent="0.2">
      <c r="A56" s="11" t="s">
        <v>63</v>
      </c>
      <c r="B56" s="11" t="str">
        <f>IF(Setup!$B$36="","",Setup!$B$36)</f>
        <v>Bella</v>
      </c>
      <c r="C56" s="11">
        <v>2</v>
      </c>
      <c r="D56" s="11" t="str">
        <f>Setup!$B$6</f>
        <v>381</v>
      </c>
      <c r="E56" s="12">
        <v>1</v>
      </c>
      <c r="F56" s="12"/>
      <c r="G56" s="12"/>
      <c r="H56" s="12"/>
      <c r="I56" s="12"/>
      <c r="J56" s="12">
        <v>1</v>
      </c>
      <c r="K56" s="12">
        <v>1</v>
      </c>
      <c r="L56" s="12">
        <v>1</v>
      </c>
      <c r="M56" s="12"/>
      <c r="N56" s="12"/>
      <c r="O56" s="12"/>
      <c r="P56" s="12"/>
      <c r="Q56" s="12">
        <v>1</v>
      </c>
      <c r="R56" s="12"/>
      <c r="S56" s="12">
        <v>1</v>
      </c>
      <c r="T56" s="12"/>
      <c r="U56" s="12">
        <v>1</v>
      </c>
      <c r="V56" s="12">
        <v>1</v>
      </c>
      <c r="W56" s="12"/>
      <c r="X56" s="12"/>
      <c r="Y56" s="12"/>
      <c r="Z56" s="12">
        <v>1</v>
      </c>
      <c r="AA56" s="12">
        <v>1</v>
      </c>
      <c r="AB56" s="12"/>
      <c r="AC56" s="12">
        <v>1</v>
      </c>
      <c r="AD56" s="12"/>
      <c r="AE56" s="12"/>
      <c r="AF56" s="12"/>
      <c r="AG56" s="11">
        <f t="shared" si="5"/>
        <v>4</v>
      </c>
      <c r="AH56" s="11">
        <f t="shared" si="6"/>
        <v>4</v>
      </c>
      <c r="AI56" s="11">
        <f t="shared" si="7"/>
        <v>2</v>
      </c>
      <c r="AJ56" s="11">
        <f t="shared" si="8"/>
        <v>1</v>
      </c>
      <c r="AK56" s="11" t="str">
        <f t="shared" si="9"/>
        <v>OK</v>
      </c>
    </row>
    <row r="57" spans="1:37" ht="15" customHeight="1" x14ac:dyDescent="0.2">
      <c r="A57" s="11" t="s">
        <v>65</v>
      </c>
      <c r="B57" s="11" t="str">
        <f>IF(Setup!$B$37="","",Setup!$B$37)</f>
        <v>Dimas</v>
      </c>
      <c r="C57" s="11">
        <v>1</v>
      </c>
      <c r="D57" s="11" t="str">
        <f>Setup!$B$5</f>
        <v>527</v>
      </c>
      <c r="E57" s="12"/>
      <c r="F57" s="12">
        <v>1</v>
      </c>
      <c r="G57" s="12">
        <v>1</v>
      </c>
      <c r="H57" s="12"/>
      <c r="I57" s="12"/>
      <c r="J57" s="12"/>
      <c r="K57" s="12"/>
      <c r="L57" s="12"/>
      <c r="M57" s="12">
        <v>1</v>
      </c>
      <c r="N57" s="12"/>
      <c r="O57" s="12">
        <v>1</v>
      </c>
      <c r="P57" s="12"/>
      <c r="Q57" s="12"/>
      <c r="R57" s="12"/>
      <c r="S57" s="12"/>
      <c r="T57" s="12"/>
      <c r="U57" s="12"/>
      <c r="V57" s="12">
        <v>1</v>
      </c>
      <c r="W57" s="12"/>
      <c r="X57" s="12">
        <v>1</v>
      </c>
      <c r="Y57" s="12">
        <v>1</v>
      </c>
      <c r="Z57" s="12"/>
      <c r="AA57" s="12"/>
      <c r="AB57" s="12"/>
      <c r="AC57" s="12"/>
      <c r="AD57" s="12">
        <v>1</v>
      </c>
      <c r="AE57" s="12"/>
      <c r="AF57" s="12"/>
      <c r="AG57" s="11">
        <f t="shared" si="5"/>
        <v>3</v>
      </c>
      <c r="AH57" s="11">
        <f t="shared" si="6"/>
        <v>2</v>
      </c>
      <c r="AI57" s="11">
        <f t="shared" si="7"/>
        <v>2</v>
      </c>
      <c r="AJ57" s="11">
        <f t="shared" si="8"/>
        <v>1</v>
      </c>
      <c r="AK57" s="11" t="str">
        <f t="shared" si="9"/>
        <v>OK</v>
      </c>
    </row>
    <row r="58" spans="1:37" ht="15" customHeight="1" x14ac:dyDescent="0.2">
      <c r="A58" s="11" t="s">
        <v>65</v>
      </c>
      <c r="B58" s="11" t="str">
        <f>IF(Setup!$B$37="","",Setup!$B$37)</f>
        <v>Dimas</v>
      </c>
      <c r="C58" s="11">
        <v>2</v>
      </c>
      <c r="D58" s="11" t="str">
        <f>Setup!$B$6</f>
        <v>381</v>
      </c>
      <c r="E58" s="12"/>
      <c r="F58" s="12"/>
      <c r="G58" s="12"/>
      <c r="H58" s="12"/>
      <c r="I58" s="12"/>
      <c r="J58" s="12">
        <v>1</v>
      </c>
      <c r="K58" s="12">
        <v>1</v>
      </c>
      <c r="L58" s="12"/>
      <c r="M58" s="12"/>
      <c r="N58" s="12"/>
      <c r="O58" s="12"/>
      <c r="P58" s="12"/>
      <c r="Q58" s="12"/>
      <c r="R58" s="12"/>
      <c r="S58" s="12">
        <v>1</v>
      </c>
      <c r="T58" s="12"/>
      <c r="U58" s="12"/>
      <c r="V58" s="12"/>
      <c r="W58" s="12"/>
      <c r="X58" s="12"/>
      <c r="Y58" s="12"/>
      <c r="Z58" s="12">
        <v>1</v>
      </c>
      <c r="AA58" s="12"/>
      <c r="AB58" s="12">
        <v>1</v>
      </c>
      <c r="AC58" s="12"/>
      <c r="AD58" s="12"/>
      <c r="AE58" s="12">
        <v>1</v>
      </c>
      <c r="AF58" s="12"/>
      <c r="AG58" s="11">
        <f t="shared" si="5"/>
        <v>2</v>
      </c>
      <c r="AH58" s="11">
        <f t="shared" si="6"/>
        <v>1</v>
      </c>
      <c r="AI58" s="11">
        <f t="shared" si="7"/>
        <v>1</v>
      </c>
      <c r="AJ58" s="11">
        <f t="shared" si="8"/>
        <v>2</v>
      </c>
      <c r="AK58" s="11" t="str">
        <f t="shared" si="9"/>
        <v>OK</v>
      </c>
    </row>
    <row r="59" spans="1:37" ht="15" customHeight="1" x14ac:dyDescent="0.2">
      <c r="A59" s="11" t="s">
        <v>67</v>
      </c>
      <c r="B59" s="11" t="str">
        <f>IF(Setup!$B$38="","",Setup!$B$38)</f>
        <v>Fitri</v>
      </c>
      <c r="C59" s="11">
        <v>1</v>
      </c>
      <c r="D59" s="11" t="str">
        <f>Setup!$B$5</f>
        <v>527</v>
      </c>
      <c r="E59" s="12">
        <v>1</v>
      </c>
      <c r="F59" s="12">
        <v>1</v>
      </c>
      <c r="G59" s="12"/>
      <c r="H59" s="12"/>
      <c r="I59" s="12"/>
      <c r="J59" s="12"/>
      <c r="K59" s="12"/>
      <c r="L59" s="12"/>
      <c r="M59" s="12">
        <v>1</v>
      </c>
      <c r="N59" s="12"/>
      <c r="O59" s="12">
        <v>1</v>
      </c>
      <c r="P59" s="12">
        <v>1</v>
      </c>
      <c r="Q59" s="12"/>
      <c r="R59" s="12"/>
      <c r="S59" s="12"/>
      <c r="T59" s="12"/>
      <c r="U59" s="12"/>
      <c r="V59" s="12"/>
      <c r="W59" s="12"/>
      <c r="X59" s="12">
        <v>1</v>
      </c>
      <c r="Y59" s="12">
        <v>1</v>
      </c>
      <c r="Z59" s="12"/>
      <c r="AA59" s="12"/>
      <c r="AB59" s="12"/>
      <c r="AC59" s="12"/>
      <c r="AD59" s="12">
        <v>1</v>
      </c>
      <c r="AE59" s="12"/>
      <c r="AF59" s="12"/>
      <c r="AG59" s="11">
        <f t="shared" si="5"/>
        <v>3</v>
      </c>
      <c r="AH59" s="11">
        <f t="shared" si="6"/>
        <v>2</v>
      </c>
      <c r="AI59" s="11">
        <f t="shared" si="7"/>
        <v>2</v>
      </c>
      <c r="AJ59" s="11">
        <f t="shared" si="8"/>
        <v>1</v>
      </c>
      <c r="AK59" s="11" t="str">
        <f t="shared" si="9"/>
        <v>OK</v>
      </c>
    </row>
    <row r="60" spans="1:37" ht="15" customHeight="1" x14ac:dyDescent="0.2">
      <c r="A60" s="11" t="s">
        <v>67</v>
      </c>
      <c r="B60" s="11" t="str">
        <f>IF(Setup!$B$38="","",Setup!$B$38)</f>
        <v>Fitri</v>
      </c>
      <c r="C60" s="11">
        <v>2</v>
      </c>
      <c r="D60" s="11" t="str">
        <f>Setup!$B$6</f>
        <v>381</v>
      </c>
      <c r="E60" s="12"/>
      <c r="F60" s="12">
        <v>1</v>
      </c>
      <c r="G60" s="12"/>
      <c r="H60" s="12"/>
      <c r="I60" s="12"/>
      <c r="J60" s="12">
        <v>1</v>
      </c>
      <c r="K60" s="12"/>
      <c r="L60" s="12"/>
      <c r="M60" s="12"/>
      <c r="N60" s="12"/>
      <c r="O60" s="12"/>
      <c r="P60" s="12"/>
      <c r="Q60" s="12"/>
      <c r="R60" s="12"/>
      <c r="S60" s="12">
        <v>1</v>
      </c>
      <c r="T60" s="12">
        <v>1</v>
      </c>
      <c r="U60" s="12"/>
      <c r="V60" s="12"/>
      <c r="W60" s="12"/>
      <c r="X60" s="12"/>
      <c r="Y60" s="12"/>
      <c r="Z60" s="12">
        <v>1</v>
      </c>
      <c r="AA60" s="12"/>
      <c r="AB60" s="12">
        <v>1</v>
      </c>
      <c r="AC60" s="12"/>
      <c r="AD60" s="12"/>
      <c r="AE60" s="12"/>
      <c r="AF60" s="12"/>
      <c r="AG60" s="11">
        <f t="shared" si="5"/>
        <v>2</v>
      </c>
      <c r="AH60" s="11">
        <f t="shared" si="6"/>
        <v>2</v>
      </c>
      <c r="AI60" s="11">
        <f t="shared" si="7"/>
        <v>1</v>
      </c>
      <c r="AJ60" s="11">
        <f t="shared" si="8"/>
        <v>1</v>
      </c>
      <c r="AK60" s="11" t="str">
        <f t="shared" si="9"/>
        <v>OK</v>
      </c>
    </row>
    <row r="61" spans="1:37" ht="15" customHeight="1" x14ac:dyDescent="0.2">
      <c r="A61" s="11" t="s">
        <v>69</v>
      </c>
      <c r="B61" s="11" t="str">
        <f>IF(Setup!$B$39="","",Setup!$B$39)</f>
        <v>Gilang</v>
      </c>
      <c r="C61" s="11">
        <v>1</v>
      </c>
      <c r="D61" s="11" t="str">
        <f>Setup!$B$5</f>
        <v>527</v>
      </c>
      <c r="E61" s="12"/>
      <c r="F61" s="12">
        <v>1</v>
      </c>
      <c r="G61" s="12"/>
      <c r="H61" s="12"/>
      <c r="I61" s="12"/>
      <c r="J61" s="12">
        <v>1</v>
      </c>
      <c r="K61" s="12">
        <v>1</v>
      </c>
      <c r="L61" s="12"/>
      <c r="M61" s="12">
        <v>1</v>
      </c>
      <c r="N61" s="12"/>
      <c r="O61" s="12">
        <v>1</v>
      </c>
      <c r="P61" s="12">
        <v>1</v>
      </c>
      <c r="Q61" s="12"/>
      <c r="R61" s="12"/>
      <c r="S61" s="12"/>
      <c r="T61" s="12"/>
      <c r="U61" s="12"/>
      <c r="V61" s="12"/>
      <c r="W61" s="12"/>
      <c r="X61" s="12"/>
      <c r="Y61" s="12">
        <v>1</v>
      </c>
      <c r="Z61" s="12"/>
      <c r="AA61" s="12"/>
      <c r="AB61" s="12"/>
      <c r="AC61" s="12"/>
      <c r="AD61" s="12">
        <v>1</v>
      </c>
      <c r="AE61" s="12"/>
      <c r="AF61" s="12"/>
      <c r="AG61" s="11">
        <f t="shared" si="5"/>
        <v>4</v>
      </c>
      <c r="AH61" s="11">
        <f t="shared" si="6"/>
        <v>2</v>
      </c>
      <c r="AI61" s="11">
        <f t="shared" si="7"/>
        <v>1</v>
      </c>
      <c r="AJ61" s="11">
        <f t="shared" si="8"/>
        <v>1</v>
      </c>
      <c r="AK61" s="11" t="str">
        <f t="shared" si="9"/>
        <v>OK</v>
      </c>
    </row>
    <row r="62" spans="1:37" ht="15" customHeight="1" x14ac:dyDescent="0.2">
      <c r="A62" s="11" t="s">
        <v>69</v>
      </c>
      <c r="B62" s="11" t="str">
        <f>IF(Setup!$B$39="","",Setup!$B$39)</f>
        <v>Gilang</v>
      </c>
      <c r="C62" s="11">
        <v>2</v>
      </c>
      <c r="D62" s="11" t="str">
        <f>Setup!$B$6</f>
        <v>381</v>
      </c>
      <c r="E62" s="12"/>
      <c r="F62" s="12"/>
      <c r="G62" s="12"/>
      <c r="H62" s="12"/>
      <c r="I62" s="12"/>
      <c r="J62" s="12">
        <v>1</v>
      </c>
      <c r="K62" s="12">
        <v>1</v>
      </c>
      <c r="L62" s="12">
        <v>1</v>
      </c>
      <c r="M62" s="12"/>
      <c r="N62" s="12"/>
      <c r="O62" s="12"/>
      <c r="P62" s="12"/>
      <c r="Q62" s="12"/>
      <c r="R62" s="12">
        <v>1</v>
      </c>
      <c r="S62" s="12">
        <v>1</v>
      </c>
      <c r="T62" s="12">
        <v>1</v>
      </c>
      <c r="U62" s="12"/>
      <c r="V62" s="12"/>
      <c r="W62" s="12"/>
      <c r="X62" s="12">
        <v>1</v>
      </c>
      <c r="Y62" s="12"/>
      <c r="Z62" s="12">
        <v>1</v>
      </c>
      <c r="AA62" s="12"/>
      <c r="AB62" s="12"/>
      <c r="AC62" s="12">
        <v>1</v>
      </c>
      <c r="AD62" s="12"/>
      <c r="AE62" s="12">
        <v>1</v>
      </c>
      <c r="AF62" s="12"/>
      <c r="AG62" s="11">
        <f t="shared" si="5"/>
        <v>3</v>
      </c>
      <c r="AH62" s="11">
        <f t="shared" si="6"/>
        <v>3</v>
      </c>
      <c r="AI62" s="11">
        <f t="shared" si="7"/>
        <v>2</v>
      </c>
      <c r="AJ62" s="11">
        <f t="shared" si="8"/>
        <v>2</v>
      </c>
      <c r="AK62" s="11" t="str">
        <f t="shared" si="9"/>
        <v>OK</v>
      </c>
    </row>
    <row r="63" spans="1:37" ht="15" customHeight="1" x14ac:dyDescent="0.2">
      <c r="A63" s="11" t="s">
        <v>71</v>
      </c>
      <c r="B63" s="11" t="str">
        <f>IF(Setup!$B$40="","",Setup!$B$40)</f>
        <v>Intan</v>
      </c>
      <c r="C63" s="11">
        <v>1</v>
      </c>
      <c r="D63" s="11" t="str">
        <f>Setup!$B$5</f>
        <v>527</v>
      </c>
      <c r="E63" s="12">
        <v>1</v>
      </c>
      <c r="F63" s="12"/>
      <c r="G63" s="12">
        <v>1</v>
      </c>
      <c r="H63" s="12"/>
      <c r="I63" s="12"/>
      <c r="J63" s="12"/>
      <c r="K63" s="12"/>
      <c r="L63" s="12"/>
      <c r="M63" s="12"/>
      <c r="N63" s="12"/>
      <c r="O63" s="12">
        <v>1</v>
      </c>
      <c r="P63" s="12"/>
      <c r="Q63" s="12"/>
      <c r="R63" s="12"/>
      <c r="S63" s="12">
        <v>1</v>
      </c>
      <c r="T63" s="12"/>
      <c r="U63" s="12"/>
      <c r="V63" s="12"/>
      <c r="W63" s="12"/>
      <c r="X63" s="12">
        <v>1</v>
      </c>
      <c r="Y63" s="12"/>
      <c r="Z63" s="12"/>
      <c r="AA63" s="12"/>
      <c r="AB63" s="12"/>
      <c r="AC63" s="12"/>
      <c r="AD63" s="12"/>
      <c r="AE63" s="12"/>
      <c r="AF63" s="12"/>
      <c r="AG63" s="11">
        <f t="shared" si="5"/>
        <v>2</v>
      </c>
      <c r="AH63" s="11">
        <f t="shared" si="6"/>
        <v>2</v>
      </c>
      <c r="AI63" s="11">
        <f t="shared" si="7"/>
        <v>1</v>
      </c>
      <c r="AJ63" s="11">
        <f t="shared" si="8"/>
        <v>0</v>
      </c>
      <c r="AK63" s="11" t="str">
        <f t="shared" si="9"/>
        <v>OK</v>
      </c>
    </row>
    <row r="64" spans="1:37" ht="15" customHeight="1" x14ac:dyDescent="0.2">
      <c r="A64" s="11" t="s">
        <v>71</v>
      </c>
      <c r="B64" s="11" t="str">
        <f>IF(Setup!$B$40="","",Setup!$B$40)</f>
        <v>Intan</v>
      </c>
      <c r="C64" s="11">
        <v>2</v>
      </c>
      <c r="D64" s="11" t="str">
        <f>Setup!$B$6</f>
        <v>381</v>
      </c>
      <c r="E64" s="12"/>
      <c r="F64" s="12">
        <v>1</v>
      </c>
      <c r="G64" s="12"/>
      <c r="H64" s="12"/>
      <c r="I64" s="12">
        <v>1</v>
      </c>
      <c r="J64" s="12">
        <v>1</v>
      </c>
      <c r="K64" s="12">
        <v>1</v>
      </c>
      <c r="L64" s="12">
        <v>1</v>
      </c>
      <c r="M64" s="12"/>
      <c r="N64" s="12"/>
      <c r="O64" s="12"/>
      <c r="P64" s="12"/>
      <c r="Q64" s="12"/>
      <c r="R64" s="12"/>
      <c r="S64" s="12"/>
      <c r="T64" s="12">
        <v>1</v>
      </c>
      <c r="U64" s="12"/>
      <c r="V64" s="12"/>
      <c r="W64" s="12"/>
      <c r="X64" s="12"/>
      <c r="Y64" s="12"/>
      <c r="Z64" s="12">
        <v>1</v>
      </c>
      <c r="AA64" s="12"/>
      <c r="AB64" s="12">
        <v>1</v>
      </c>
      <c r="AC64" s="12"/>
      <c r="AD64" s="12"/>
      <c r="AE64" s="12"/>
      <c r="AF64" s="12"/>
      <c r="AG64" s="11">
        <f t="shared" si="5"/>
        <v>5</v>
      </c>
      <c r="AH64" s="11">
        <f t="shared" si="6"/>
        <v>1</v>
      </c>
      <c r="AI64" s="11">
        <f t="shared" si="7"/>
        <v>1</v>
      </c>
      <c r="AJ64" s="11">
        <f t="shared" si="8"/>
        <v>1</v>
      </c>
      <c r="AK64" s="11" t="str">
        <f t="shared" si="9"/>
        <v>OK</v>
      </c>
    </row>
  </sheetData>
  <mergeCells count="13">
    <mergeCell ref="AI3:AI4"/>
    <mergeCell ref="AJ3:AJ4"/>
    <mergeCell ref="AK3:AK4"/>
    <mergeCell ref="N3:V3"/>
    <mergeCell ref="W3:AA3"/>
    <mergeCell ref="AB3:AF3"/>
    <mergeCell ref="AG3:AG4"/>
    <mergeCell ref="AH3:AH4"/>
    <mergeCell ref="A3:A4"/>
    <mergeCell ref="B3:B4"/>
    <mergeCell ref="C3:C4"/>
    <mergeCell ref="D3:D4"/>
    <mergeCell ref="E3:M3"/>
  </mergeCells>
  <conditionalFormatting sqref="E5:AF64">
    <cfRule type="cellIs" dxfId="3" priority="2" operator="equal">
      <formula>1</formula>
    </cfRule>
  </conditionalFormatting>
  <conditionalFormatting sqref="AG5:AH64">
    <cfRule type="cellIs" dxfId="2" priority="3" operator="greaterThan">
      <formula>5</formula>
    </cfRule>
  </conditionalFormatting>
  <conditionalFormatting sqref="AI5:AJ64">
    <cfRule type="cellIs" dxfId="1" priority="4" operator="greaterThan">
      <formula>2</formula>
    </cfRule>
  </conditionalFormatting>
  <conditionalFormatting sqref="AK5:AK64">
    <cfRule type="expression" dxfId="0" priority="6">
      <formula>AND(AK5&lt;&gt;"OK",AK5&lt;&gt;"kosong")</formula>
    </cfRule>
  </conditionalFormatting>
  <dataValidations count="1">
    <dataValidation type="whole" showErrorMessage="1" errorTitle="Tidak valid" error="Ketik 1 jika dipilih, kosongkan jika tidak." sqref="E5:AF64" xr:uid="{00000000-0002-0000-04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1"/>
  <sheetViews>
    <sheetView zoomScaleNormal="100" workbookViewId="0">
      <pane xSplit="5" ySplit="1" topLeftCell="F2" activePane="bottomRight" state="frozen"/>
      <selection pane="topRight" activeCell="Y1" sqref="Y1"/>
      <selection pane="bottomLeft" activeCell="A2" sqref="A2"/>
      <selection pane="bottomRight" activeCell="C57" sqref="C57"/>
    </sheetView>
  </sheetViews>
  <sheetFormatPr baseColWidth="10" defaultColWidth="8.6640625" defaultRowHeight="15" x14ac:dyDescent="0.2"/>
  <cols>
    <col min="1" max="33" width="12" customWidth="1"/>
  </cols>
  <sheetData>
    <row r="1" spans="1:33" ht="15" customHeight="1" x14ac:dyDescent="0.2">
      <c r="A1" s="17" t="s">
        <v>123</v>
      </c>
      <c r="B1" s="17" t="s">
        <v>76</v>
      </c>
      <c r="C1" s="17" t="s">
        <v>2</v>
      </c>
      <c r="D1" s="17" t="s">
        <v>124</v>
      </c>
      <c r="E1" s="17" t="s">
        <v>125</v>
      </c>
      <c r="F1" s="17" t="s">
        <v>126</v>
      </c>
      <c r="G1" s="17" t="s">
        <v>127</v>
      </c>
      <c r="H1" s="17" t="s">
        <v>128</v>
      </c>
      <c r="I1" s="17" t="s">
        <v>129</v>
      </c>
      <c r="J1" s="17" t="s">
        <v>130</v>
      </c>
      <c r="K1" s="17" t="s">
        <v>131</v>
      </c>
      <c r="L1" s="17" t="s">
        <v>132</v>
      </c>
      <c r="M1" s="17" t="s">
        <v>133</v>
      </c>
      <c r="N1" s="17" t="s">
        <v>134</v>
      </c>
      <c r="O1" s="17" t="s">
        <v>135</v>
      </c>
      <c r="P1" s="17" t="s">
        <v>136</v>
      </c>
      <c r="Q1" s="17" t="s">
        <v>137</v>
      </c>
      <c r="R1" s="17" t="s">
        <v>138</v>
      </c>
      <c r="S1" s="17" t="s">
        <v>139</v>
      </c>
      <c r="T1" s="17" t="s">
        <v>140</v>
      </c>
      <c r="U1" s="17" t="s">
        <v>141</v>
      </c>
      <c r="V1" s="17" t="s">
        <v>142</v>
      </c>
      <c r="W1" s="17" t="s">
        <v>143</v>
      </c>
      <c r="X1" s="17" t="s">
        <v>144</v>
      </c>
      <c r="Y1" s="17" t="s">
        <v>145</v>
      </c>
      <c r="Z1" s="17" t="s">
        <v>146</v>
      </c>
      <c r="AA1" s="17" t="s">
        <v>147</v>
      </c>
      <c r="AB1" s="17" t="s">
        <v>148</v>
      </c>
      <c r="AC1" s="17" t="s">
        <v>149</v>
      </c>
      <c r="AD1" s="17" t="s">
        <v>150</v>
      </c>
      <c r="AE1" s="17" t="s">
        <v>151</v>
      </c>
      <c r="AF1" s="17" t="s">
        <v>152</v>
      </c>
      <c r="AG1" s="17" t="s">
        <v>153</v>
      </c>
    </row>
    <row r="2" spans="1:33" ht="15" customHeight="1" x14ac:dyDescent="0.2">
      <c r="A2" s="3" t="str">
        <f>CATA!A5</f>
        <v>P01</v>
      </c>
      <c r="B2" s="3">
        <f>CATA!C5</f>
        <v>1</v>
      </c>
      <c r="C2" s="3" t="str">
        <f>CATA!D5</f>
        <v>527</v>
      </c>
      <c r="D2" s="3" t="str">
        <f>IF(C2=Setup!$B$5,Setup!$C$5,Setup!$C$6)</f>
        <v>Ethiopia natural (light roast)</v>
      </c>
      <c r="E2" s="3">
        <f>IF(COUNTA(CATA!E5:AF5)&gt;0,1,0)</f>
        <v>1</v>
      </c>
      <c r="F2" s="3">
        <f>IF(CATA!E5=1,1,0)</f>
        <v>1</v>
      </c>
      <c r="G2" s="3">
        <f>IF(CATA!F5=1,1,0)</f>
        <v>1</v>
      </c>
      <c r="H2" s="3">
        <f>IF(CATA!G5=1,1,0)</f>
        <v>0</v>
      </c>
      <c r="I2" s="3">
        <f>IF(CATA!H5=1,1,0)</f>
        <v>1</v>
      </c>
      <c r="J2" s="3">
        <f>IF(CATA!I5=1,1,0)</f>
        <v>0</v>
      </c>
      <c r="K2" s="3">
        <f>IF(CATA!J5=1,1,0)</f>
        <v>0</v>
      </c>
      <c r="L2" s="3">
        <f>IF(CATA!K5=1,1,0)</f>
        <v>1</v>
      </c>
      <c r="M2" s="3">
        <f>IF(CATA!L5=1,1,0)</f>
        <v>0</v>
      </c>
      <c r="N2" s="3">
        <f>IF(CATA!M5=1,1,0)</f>
        <v>1</v>
      </c>
      <c r="O2" s="3">
        <f>IF(CATA!N5=1,1,0)</f>
        <v>0</v>
      </c>
      <c r="P2" s="3">
        <f>IF(CATA!O5=1,1,0)</f>
        <v>1</v>
      </c>
      <c r="Q2" s="3">
        <f>IF(CATA!P5=1,1,0)</f>
        <v>1</v>
      </c>
      <c r="R2" s="3">
        <f>IF(CATA!Q5=1,1,0)</f>
        <v>0</v>
      </c>
      <c r="S2" s="3">
        <f>IF(CATA!R5=1,1,0)</f>
        <v>0</v>
      </c>
      <c r="T2" s="3">
        <f>IF(CATA!S5=1,1,0)</f>
        <v>0</v>
      </c>
      <c r="U2" s="3">
        <f>IF(CATA!T5=1,1,0)</f>
        <v>1</v>
      </c>
      <c r="V2" s="3">
        <f>IF(CATA!U5=1,1,0)</f>
        <v>0</v>
      </c>
      <c r="W2" s="3">
        <f>IF(CATA!V5=1,1,0)</f>
        <v>0</v>
      </c>
      <c r="X2" s="3">
        <f>IF(CATA!W5=1,1,0)</f>
        <v>0</v>
      </c>
      <c r="Y2" s="3">
        <f>IF(CATA!X5=1,1,0)</f>
        <v>1</v>
      </c>
      <c r="Z2" s="3">
        <f>IF(CATA!Y5=1,1,0)</f>
        <v>0</v>
      </c>
      <c r="AA2" s="3">
        <f>IF(CATA!Z5=1,1,0)</f>
        <v>1</v>
      </c>
      <c r="AB2" s="3">
        <f>IF(CATA!AA5=1,1,0)</f>
        <v>0</v>
      </c>
      <c r="AC2" s="3">
        <f>IF(CATA!AB5=1,1,0)</f>
        <v>0</v>
      </c>
      <c r="AD2" s="3">
        <f>IF(CATA!AC5=1,1,0)</f>
        <v>0</v>
      </c>
      <c r="AE2" s="3">
        <f>IF(CATA!AD5=1,1,0)</f>
        <v>0</v>
      </c>
      <c r="AF2" s="3">
        <f>IF(CATA!AE5=1,1,0)</f>
        <v>1</v>
      </c>
      <c r="AG2" s="3">
        <f>IF(CATA!AF5=1,1,0)</f>
        <v>1</v>
      </c>
    </row>
    <row r="3" spans="1:33" ht="15" customHeight="1" x14ac:dyDescent="0.2">
      <c r="A3" s="3" t="str">
        <f>CATA!A6</f>
        <v>P01</v>
      </c>
      <c r="B3" s="3">
        <f>CATA!C6</f>
        <v>2</v>
      </c>
      <c r="C3" s="3" t="str">
        <f>CATA!D6</f>
        <v>381</v>
      </c>
      <c r="D3" s="3" t="str">
        <f>IF(C3=Setup!$B$5,Setup!$C$5,Setup!$C$6)</f>
        <v>Robusta Temanggung (dark roast)</v>
      </c>
      <c r="E3" s="3">
        <f>IF(COUNTA(CATA!E6:AF6)&gt;0,1,0)</f>
        <v>1</v>
      </c>
      <c r="F3" s="3">
        <f>IF(CATA!E6=1,1,0)</f>
        <v>0</v>
      </c>
      <c r="G3" s="3">
        <f>IF(CATA!F6=1,1,0)</f>
        <v>0</v>
      </c>
      <c r="H3" s="3">
        <f>IF(CATA!G6=1,1,0)</f>
        <v>0</v>
      </c>
      <c r="I3" s="3">
        <f>IF(CATA!H6=1,1,0)</f>
        <v>0</v>
      </c>
      <c r="J3" s="3">
        <f>IF(CATA!I6=1,1,0)</f>
        <v>0</v>
      </c>
      <c r="K3" s="3">
        <f>IF(CATA!J6=1,1,0)</f>
        <v>1</v>
      </c>
      <c r="L3" s="3">
        <f>IF(CATA!K6=1,1,0)</f>
        <v>1</v>
      </c>
      <c r="M3" s="3">
        <f>IF(CATA!L6=1,1,0)</f>
        <v>0</v>
      </c>
      <c r="N3" s="3">
        <f>IF(CATA!M6=1,1,0)</f>
        <v>1</v>
      </c>
      <c r="O3" s="3">
        <f>IF(CATA!N6=1,1,0)</f>
        <v>0</v>
      </c>
      <c r="P3" s="3">
        <f>IF(CATA!O6=1,1,0)</f>
        <v>1</v>
      </c>
      <c r="Q3" s="3">
        <f>IF(CATA!P6=1,1,0)</f>
        <v>0</v>
      </c>
      <c r="R3" s="3">
        <f>IF(CATA!Q6=1,1,0)</f>
        <v>0</v>
      </c>
      <c r="S3" s="3">
        <f>IF(CATA!R6=1,1,0)</f>
        <v>0</v>
      </c>
      <c r="T3" s="3">
        <f>IF(CATA!S6=1,1,0)</f>
        <v>0</v>
      </c>
      <c r="U3" s="3">
        <f>IF(CATA!T6=1,1,0)</f>
        <v>1</v>
      </c>
      <c r="V3" s="3">
        <f>IF(CATA!U6=1,1,0)</f>
        <v>0</v>
      </c>
      <c r="W3" s="3">
        <f>IF(CATA!V6=1,1,0)</f>
        <v>0</v>
      </c>
      <c r="X3" s="3">
        <f>IF(CATA!W6=1,1,0)</f>
        <v>0</v>
      </c>
      <c r="Y3" s="3">
        <f>IF(CATA!X6=1,1,0)</f>
        <v>0</v>
      </c>
      <c r="Z3" s="3">
        <f>IF(CATA!Y6=1,1,0)</f>
        <v>0</v>
      </c>
      <c r="AA3" s="3">
        <f>IF(CATA!Z6=1,1,0)</f>
        <v>1</v>
      </c>
      <c r="AB3" s="3">
        <f>IF(CATA!AA6=1,1,0)</f>
        <v>0</v>
      </c>
      <c r="AC3" s="3">
        <f>IF(CATA!AB6=1,1,0)</f>
        <v>1</v>
      </c>
      <c r="AD3" s="3">
        <f>IF(CATA!AC6=1,1,0)</f>
        <v>0</v>
      </c>
      <c r="AE3" s="3">
        <f>IF(CATA!AD6=1,1,0)</f>
        <v>0</v>
      </c>
      <c r="AF3" s="3">
        <f>IF(CATA!AE6=1,1,0)</f>
        <v>1</v>
      </c>
      <c r="AG3" s="3">
        <f>IF(CATA!AF6=1,1,0)</f>
        <v>0</v>
      </c>
    </row>
    <row r="4" spans="1:33" ht="15" customHeight="1" x14ac:dyDescent="0.2">
      <c r="A4" s="3" t="str">
        <f>CATA!A7</f>
        <v>P02</v>
      </c>
      <c r="B4" s="3">
        <f>CATA!C7</f>
        <v>1</v>
      </c>
      <c r="C4" s="3" t="str">
        <f>CATA!D7</f>
        <v>527</v>
      </c>
      <c r="D4" s="3" t="str">
        <f>IF(C4=Setup!$B$5,Setup!$C$5,Setup!$C$6)</f>
        <v>Ethiopia natural (light roast)</v>
      </c>
      <c r="E4" s="3">
        <f>IF(COUNTA(CATA!E7:AF7)&gt;0,1,0)</f>
        <v>1</v>
      </c>
      <c r="F4" s="3">
        <f>IF(CATA!E7=1,1,0)</f>
        <v>1</v>
      </c>
      <c r="G4" s="3">
        <f>IF(CATA!F7=1,1,0)</f>
        <v>1</v>
      </c>
      <c r="H4" s="3">
        <f>IF(CATA!G7=1,1,0)</f>
        <v>0</v>
      </c>
      <c r="I4" s="3">
        <f>IF(CATA!H7=1,1,0)</f>
        <v>0</v>
      </c>
      <c r="J4" s="3">
        <f>IF(CATA!I7=1,1,0)</f>
        <v>0</v>
      </c>
      <c r="K4" s="3">
        <f>IF(CATA!J7=1,1,0)</f>
        <v>1</v>
      </c>
      <c r="L4" s="3">
        <f>IF(CATA!K7=1,1,0)</f>
        <v>1</v>
      </c>
      <c r="M4" s="3">
        <f>IF(CATA!L7=1,1,0)</f>
        <v>0</v>
      </c>
      <c r="N4" s="3">
        <f>IF(CATA!M7=1,1,0)</f>
        <v>1</v>
      </c>
      <c r="O4" s="3">
        <f>IF(CATA!N7=1,1,0)</f>
        <v>0</v>
      </c>
      <c r="P4" s="3">
        <f>IF(CATA!O7=1,1,0)</f>
        <v>1</v>
      </c>
      <c r="Q4" s="3">
        <f>IF(CATA!P7=1,1,0)</f>
        <v>1</v>
      </c>
      <c r="R4" s="3">
        <f>IF(CATA!Q7=1,1,0)</f>
        <v>0</v>
      </c>
      <c r="S4" s="3">
        <f>IF(CATA!R7=1,1,0)</f>
        <v>0</v>
      </c>
      <c r="T4" s="3">
        <f>IF(CATA!S7=1,1,0)</f>
        <v>0</v>
      </c>
      <c r="U4" s="3">
        <f>IF(CATA!T7=1,1,0)</f>
        <v>0</v>
      </c>
      <c r="V4" s="3">
        <f>IF(CATA!U7=1,1,0)</f>
        <v>1</v>
      </c>
      <c r="W4" s="3">
        <f>IF(CATA!V7=1,1,0)</f>
        <v>1</v>
      </c>
      <c r="X4" s="3">
        <f>IF(CATA!W7=1,1,0)</f>
        <v>0</v>
      </c>
      <c r="Y4" s="3">
        <f>IF(CATA!X7=1,1,0)</f>
        <v>1</v>
      </c>
      <c r="Z4" s="3">
        <f>IF(CATA!Y7=1,1,0)</f>
        <v>0</v>
      </c>
      <c r="AA4" s="3">
        <f>IF(CATA!Z7=1,1,0)</f>
        <v>0</v>
      </c>
      <c r="AB4" s="3">
        <f>IF(CATA!AA7=1,1,0)</f>
        <v>0</v>
      </c>
      <c r="AC4" s="3">
        <f>IF(CATA!AB7=1,1,0)</f>
        <v>0</v>
      </c>
      <c r="AD4" s="3">
        <f>IF(CATA!AC7=1,1,0)</f>
        <v>0</v>
      </c>
      <c r="AE4" s="3">
        <f>IF(CATA!AD7=1,1,0)</f>
        <v>1</v>
      </c>
      <c r="AF4" s="3">
        <f>IF(CATA!AE7=1,1,0)</f>
        <v>0</v>
      </c>
      <c r="AG4" s="3">
        <f>IF(CATA!AF7=1,1,0)</f>
        <v>0</v>
      </c>
    </row>
    <row r="5" spans="1:33" ht="15" customHeight="1" x14ac:dyDescent="0.2">
      <c r="A5" s="3" t="str">
        <f>CATA!A8</f>
        <v>P02</v>
      </c>
      <c r="B5" s="3">
        <f>CATA!C8</f>
        <v>2</v>
      </c>
      <c r="C5" s="3" t="str">
        <f>CATA!D8</f>
        <v>381</v>
      </c>
      <c r="D5" s="3" t="str">
        <f>IF(C5=Setup!$B$5,Setup!$C$5,Setup!$C$6)</f>
        <v>Robusta Temanggung (dark roast)</v>
      </c>
      <c r="E5" s="3">
        <f>IF(COUNTA(CATA!E8:AF8)&gt;0,1,0)</f>
        <v>1</v>
      </c>
      <c r="F5" s="3">
        <f>IF(CATA!E8=1,1,0)</f>
        <v>0</v>
      </c>
      <c r="G5" s="3">
        <f>IF(CATA!F8=1,1,0)</f>
        <v>0</v>
      </c>
      <c r="H5" s="3">
        <f>IF(CATA!G8=1,1,0)</f>
        <v>0</v>
      </c>
      <c r="I5" s="3">
        <f>IF(CATA!H8=1,1,0)</f>
        <v>0</v>
      </c>
      <c r="J5" s="3">
        <f>IF(CATA!I8=1,1,0)</f>
        <v>1</v>
      </c>
      <c r="K5" s="3">
        <f>IF(CATA!J8=1,1,0)</f>
        <v>1</v>
      </c>
      <c r="L5" s="3">
        <f>IF(CATA!K8=1,1,0)</f>
        <v>1</v>
      </c>
      <c r="M5" s="3">
        <f>IF(CATA!L8=1,1,0)</f>
        <v>1</v>
      </c>
      <c r="N5" s="3">
        <f>IF(CATA!M8=1,1,0)</f>
        <v>0</v>
      </c>
      <c r="O5" s="3">
        <f>IF(CATA!N8=1,1,0)</f>
        <v>0</v>
      </c>
      <c r="P5" s="3">
        <f>IF(CATA!O8=1,1,0)</f>
        <v>0</v>
      </c>
      <c r="Q5" s="3">
        <f>IF(CATA!P8=1,1,0)</f>
        <v>1</v>
      </c>
      <c r="R5" s="3">
        <f>IF(CATA!Q8=1,1,0)</f>
        <v>0</v>
      </c>
      <c r="S5" s="3">
        <f>IF(CATA!R8=1,1,0)</f>
        <v>0</v>
      </c>
      <c r="T5" s="3">
        <f>IF(CATA!S8=1,1,0)</f>
        <v>1</v>
      </c>
      <c r="U5" s="3">
        <f>IF(CATA!T8=1,1,0)</f>
        <v>0</v>
      </c>
      <c r="V5" s="3">
        <f>IF(CATA!U8=1,1,0)</f>
        <v>0</v>
      </c>
      <c r="W5" s="3">
        <f>IF(CATA!V8=1,1,0)</f>
        <v>0</v>
      </c>
      <c r="X5" s="3">
        <f>IF(CATA!W8=1,1,0)</f>
        <v>0</v>
      </c>
      <c r="Y5" s="3">
        <f>IF(CATA!X8=1,1,0)</f>
        <v>0</v>
      </c>
      <c r="Z5" s="3">
        <f>IF(CATA!Y8=1,1,0)</f>
        <v>1</v>
      </c>
      <c r="AA5" s="3">
        <f>IF(CATA!Z8=1,1,0)</f>
        <v>0</v>
      </c>
      <c r="AB5" s="3">
        <f>IF(CATA!AA8=1,1,0)</f>
        <v>0</v>
      </c>
      <c r="AC5" s="3">
        <f>IF(CATA!AB8=1,1,0)</f>
        <v>0</v>
      </c>
      <c r="AD5" s="3">
        <f>IF(CATA!AC8=1,1,0)</f>
        <v>0</v>
      </c>
      <c r="AE5" s="3">
        <f>IF(CATA!AD8=1,1,0)</f>
        <v>0</v>
      </c>
      <c r="AF5" s="3">
        <f>IF(CATA!AE8=1,1,0)</f>
        <v>1</v>
      </c>
      <c r="AG5" s="3">
        <f>IF(CATA!AF8=1,1,0)</f>
        <v>0</v>
      </c>
    </row>
    <row r="6" spans="1:33" ht="15" customHeight="1" x14ac:dyDescent="0.2">
      <c r="A6" s="3" t="str">
        <f>CATA!A9</f>
        <v>P03</v>
      </c>
      <c r="B6" s="3">
        <f>CATA!C9</f>
        <v>1</v>
      </c>
      <c r="C6" s="3" t="str">
        <f>CATA!D9</f>
        <v>527</v>
      </c>
      <c r="D6" s="3" t="str">
        <f>IF(C6=Setup!$B$5,Setup!$C$5,Setup!$C$6)</f>
        <v>Ethiopia natural (light roast)</v>
      </c>
      <c r="E6" s="3">
        <f>IF(COUNTA(CATA!E9:AF9)&gt;0,1,0)</f>
        <v>1</v>
      </c>
      <c r="F6" s="3">
        <f>IF(CATA!E9=1,1,0)</f>
        <v>0</v>
      </c>
      <c r="G6" s="3">
        <f>IF(CATA!F9=1,1,0)</f>
        <v>1</v>
      </c>
      <c r="H6" s="3">
        <f>IF(CATA!G9=1,1,0)</f>
        <v>0</v>
      </c>
      <c r="I6" s="3">
        <f>IF(CATA!H9=1,1,0)</f>
        <v>0</v>
      </c>
      <c r="J6" s="3">
        <f>IF(CATA!I9=1,1,0)</f>
        <v>0</v>
      </c>
      <c r="K6" s="3">
        <f>IF(CATA!J9=1,1,0)</f>
        <v>1</v>
      </c>
      <c r="L6" s="3">
        <f>IF(CATA!K9=1,1,0)</f>
        <v>0</v>
      </c>
      <c r="M6" s="3">
        <f>IF(CATA!L9=1,1,0)</f>
        <v>0</v>
      </c>
      <c r="N6" s="3">
        <f>IF(CATA!M9=1,1,0)</f>
        <v>0</v>
      </c>
      <c r="O6" s="3">
        <f>IF(CATA!N9=1,1,0)</f>
        <v>0</v>
      </c>
      <c r="P6" s="3">
        <f>IF(CATA!O9=1,1,0)</f>
        <v>1</v>
      </c>
      <c r="Q6" s="3">
        <f>IF(CATA!P9=1,1,0)</f>
        <v>1</v>
      </c>
      <c r="R6" s="3">
        <f>IF(CATA!Q9=1,1,0)</f>
        <v>0</v>
      </c>
      <c r="S6" s="3">
        <f>IF(CATA!R9=1,1,0)</f>
        <v>0</v>
      </c>
      <c r="T6" s="3">
        <f>IF(CATA!S9=1,1,0)</f>
        <v>0</v>
      </c>
      <c r="U6" s="3">
        <f>IF(CATA!T9=1,1,0)</f>
        <v>0</v>
      </c>
      <c r="V6" s="3">
        <f>IF(CATA!U9=1,1,0)</f>
        <v>0</v>
      </c>
      <c r="W6" s="3">
        <f>IF(CATA!V9=1,1,0)</f>
        <v>1</v>
      </c>
      <c r="X6" s="3">
        <f>IF(CATA!W9=1,1,0)</f>
        <v>0</v>
      </c>
      <c r="Y6" s="3">
        <f>IF(CATA!X9=1,1,0)</f>
        <v>0</v>
      </c>
      <c r="Z6" s="3">
        <f>IF(CATA!Y9=1,1,0)</f>
        <v>1</v>
      </c>
      <c r="AA6" s="3">
        <f>IF(CATA!Z9=1,1,0)</f>
        <v>1</v>
      </c>
      <c r="AB6" s="3">
        <f>IF(CATA!AA9=1,1,0)</f>
        <v>0</v>
      </c>
      <c r="AC6" s="3">
        <f>IF(CATA!AB9=1,1,0)</f>
        <v>0</v>
      </c>
      <c r="AD6" s="3">
        <f>IF(CATA!AC9=1,1,0)</f>
        <v>1</v>
      </c>
      <c r="AE6" s="3">
        <f>IF(CATA!AD9=1,1,0)</f>
        <v>0</v>
      </c>
      <c r="AF6" s="3">
        <f>IF(CATA!AE9=1,1,0)</f>
        <v>0</v>
      </c>
      <c r="AG6" s="3">
        <f>IF(CATA!AF9=1,1,0)</f>
        <v>0</v>
      </c>
    </row>
    <row r="7" spans="1:33" ht="15" customHeight="1" x14ac:dyDescent="0.2">
      <c r="A7" s="3" t="str">
        <f>CATA!A10</f>
        <v>P03</v>
      </c>
      <c r="B7" s="3">
        <f>CATA!C10</f>
        <v>2</v>
      </c>
      <c r="C7" s="3" t="str">
        <f>CATA!D10</f>
        <v>381</v>
      </c>
      <c r="D7" s="3" t="str">
        <f>IF(C7=Setup!$B$5,Setup!$C$5,Setup!$C$6)</f>
        <v>Robusta Temanggung (dark roast)</v>
      </c>
      <c r="E7" s="3">
        <f>IF(COUNTA(CATA!E10:AF10)&gt;0,1,0)</f>
        <v>1</v>
      </c>
      <c r="F7" s="3">
        <f>IF(CATA!E10=1,1,0)</f>
        <v>0</v>
      </c>
      <c r="G7" s="3">
        <f>IF(CATA!F10=1,1,0)</f>
        <v>0</v>
      </c>
      <c r="H7" s="3">
        <f>IF(CATA!G10=1,1,0)</f>
        <v>0</v>
      </c>
      <c r="I7" s="3">
        <f>IF(CATA!H10=1,1,0)</f>
        <v>0</v>
      </c>
      <c r="J7" s="3">
        <f>IF(CATA!I10=1,1,0)</f>
        <v>0</v>
      </c>
      <c r="K7" s="3">
        <f>IF(CATA!J10=1,1,0)</f>
        <v>1</v>
      </c>
      <c r="L7" s="3">
        <f>IF(CATA!K10=1,1,0)</f>
        <v>0</v>
      </c>
      <c r="M7" s="3">
        <f>IF(CATA!L10=1,1,0)</f>
        <v>0</v>
      </c>
      <c r="N7" s="3">
        <f>IF(CATA!M10=1,1,0)</f>
        <v>0</v>
      </c>
      <c r="O7" s="3">
        <f>IF(CATA!N10=1,1,0)</f>
        <v>0</v>
      </c>
      <c r="P7" s="3">
        <f>IF(CATA!O10=1,1,0)</f>
        <v>0</v>
      </c>
      <c r="Q7" s="3">
        <f>IF(CATA!P10=1,1,0)</f>
        <v>0</v>
      </c>
      <c r="R7" s="3">
        <f>IF(CATA!Q10=1,1,0)</f>
        <v>1</v>
      </c>
      <c r="S7" s="3">
        <f>IF(CATA!R10=1,1,0)</f>
        <v>0</v>
      </c>
      <c r="T7" s="3">
        <f>IF(CATA!S10=1,1,0)</f>
        <v>1</v>
      </c>
      <c r="U7" s="3">
        <f>IF(CATA!T10=1,1,0)</f>
        <v>1</v>
      </c>
      <c r="V7" s="3">
        <f>IF(CATA!U10=1,1,0)</f>
        <v>0</v>
      </c>
      <c r="W7" s="3">
        <f>IF(CATA!V10=1,1,0)</f>
        <v>1</v>
      </c>
      <c r="X7" s="3">
        <f>IF(CATA!W10=1,1,0)</f>
        <v>0</v>
      </c>
      <c r="Y7" s="3">
        <f>IF(CATA!X10=1,1,0)</f>
        <v>0</v>
      </c>
      <c r="Z7" s="3">
        <f>IF(CATA!Y10=1,1,0)</f>
        <v>0</v>
      </c>
      <c r="AA7" s="3">
        <f>IF(CATA!Z10=1,1,0)</f>
        <v>1</v>
      </c>
      <c r="AB7" s="3">
        <f>IF(CATA!AA10=1,1,0)</f>
        <v>0</v>
      </c>
      <c r="AC7" s="3">
        <f>IF(CATA!AB10=1,1,0)</f>
        <v>0</v>
      </c>
      <c r="AD7" s="3">
        <f>IF(CATA!AC10=1,1,0)</f>
        <v>1</v>
      </c>
      <c r="AE7" s="3">
        <f>IF(CATA!AD10=1,1,0)</f>
        <v>0</v>
      </c>
      <c r="AF7" s="3">
        <f>IF(CATA!AE10=1,1,0)</f>
        <v>1</v>
      </c>
      <c r="AG7" s="3">
        <f>IF(CATA!AF10=1,1,0)</f>
        <v>0</v>
      </c>
    </row>
    <row r="8" spans="1:33" ht="15" customHeight="1" x14ac:dyDescent="0.2">
      <c r="A8" s="3" t="str">
        <f>CATA!A11</f>
        <v>P04</v>
      </c>
      <c r="B8" s="3">
        <f>CATA!C11</f>
        <v>1</v>
      </c>
      <c r="C8" s="3" t="str">
        <f>CATA!D11</f>
        <v>527</v>
      </c>
      <c r="D8" s="3" t="str">
        <f>IF(C8=Setup!$B$5,Setup!$C$5,Setup!$C$6)</f>
        <v>Ethiopia natural (light roast)</v>
      </c>
      <c r="E8" s="3">
        <f>IF(COUNTA(CATA!E11:AF11)&gt;0,1,0)</f>
        <v>1</v>
      </c>
      <c r="F8" s="3">
        <f>IF(CATA!E11=1,1,0)</f>
        <v>1</v>
      </c>
      <c r="G8" s="3">
        <f>IF(CATA!F11=1,1,0)</f>
        <v>1</v>
      </c>
      <c r="H8" s="3">
        <f>IF(CATA!G11=1,1,0)</f>
        <v>0</v>
      </c>
      <c r="I8" s="3">
        <f>IF(CATA!H11=1,1,0)</f>
        <v>0</v>
      </c>
      <c r="J8" s="3">
        <f>IF(CATA!I11=1,1,0)</f>
        <v>0</v>
      </c>
      <c r="K8" s="3">
        <f>IF(CATA!J11=1,1,0)</f>
        <v>0</v>
      </c>
      <c r="L8" s="3">
        <f>IF(CATA!K11=1,1,0)</f>
        <v>0</v>
      </c>
      <c r="M8" s="3">
        <f>IF(CATA!L11=1,1,0)</f>
        <v>0</v>
      </c>
      <c r="N8" s="3">
        <f>IF(CATA!M11=1,1,0)</f>
        <v>1</v>
      </c>
      <c r="O8" s="3">
        <f>IF(CATA!N11=1,1,0)</f>
        <v>1</v>
      </c>
      <c r="P8" s="3">
        <f>IF(CATA!O11=1,1,0)</f>
        <v>0</v>
      </c>
      <c r="Q8" s="3">
        <f>IF(CATA!P11=1,1,0)</f>
        <v>0</v>
      </c>
      <c r="R8" s="3">
        <f>IF(CATA!Q11=1,1,0)</f>
        <v>0</v>
      </c>
      <c r="S8" s="3">
        <f>IF(CATA!R11=1,1,0)</f>
        <v>0</v>
      </c>
      <c r="T8" s="3">
        <f>IF(CATA!S11=1,1,0)</f>
        <v>1</v>
      </c>
      <c r="U8" s="3">
        <f>IF(CATA!T11=1,1,0)</f>
        <v>0</v>
      </c>
      <c r="V8" s="3">
        <f>IF(CATA!U11=1,1,0)</f>
        <v>0</v>
      </c>
      <c r="W8" s="3">
        <f>IF(CATA!V11=1,1,0)</f>
        <v>1</v>
      </c>
      <c r="X8" s="3">
        <f>IF(CATA!W11=1,1,0)</f>
        <v>0</v>
      </c>
      <c r="Y8" s="3">
        <f>IF(CATA!X11=1,1,0)</f>
        <v>0</v>
      </c>
      <c r="Z8" s="3">
        <f>IF(CATA!Y11=1,1,0)</f>
        <v>0</v>
      </c>
      <c r="AA8" s="3">
        <f>IF(CATA!Z11=1,1,0)</f>
        <v>1</v>
      </c>
      <c r="AB8" s="3">
        <f>IF(CATA!AA11=1,1,0)</f>
        <v>0</v>
      </c>
      <c r="AC8" s="3">
        <f>IF(CATA!AB11=1,1,0)</f>
        <v>0</v>
      </c>
      <c r="AD8" s="3">
        <f>IF(CATA!AC11=1,1,0)</f>
        <v>0</v>
      </c>
      <c r="AE8" s="3">
        <f>IF(CATA!AD11=1,1,0)</f>
        <v>0</v>
      </c>
      <c r="AF8" s="3">
        <f>IF(CATA!AE11=1,1,0)</f>
        <v>0</v>
      </c>
      <c r="AG8" s="3">
        <f>IF(CATA!AF11=1,1,0)</f>
        <v>0</v>
      </c>
    </row>
    <row r="9" spans="1:33" ht="15" customHeight="1" x14ac:dyDescent="0.2">
      <c r="A9" s="3" t="str">
        <f>CATA!A12</f>
        <v>P04</v>
      </c>
      <c r="B9" s="3">
        <f>CATA!C12</f>
        <v>2</v>
      </c>
      <c r="C9" s="3" t="str">
        <f>CATA!D12</f>
        <v>381</v>
      </c>
      <c r="D9" s="3" t="str">
        <f>IF(C9=Setup!$B$5,Setup!$C$5,Setup!$C$6)</f>
        <v>Robusta Temanggung (dark roast)</v>
      </c>
      <c r="E9" s="3">
        <f>IF(COUNTA(CATA!E12:AF12)&gt;0,1,0)</f>
        <v>1</v>
      </c>
      <c r="F9" s="3">
        <f>IF(CATA!E12=1,1,0)</f>
        <v>0</v>
      </c>
      <c r="G9" s="3">
        <f>IF(CATA!F12=1,1,0)</f>
        <v>0</v>
      </c>
      <c r="H9" s="3">
        <f>IF(CATA!G12=1,1,0)</f>
        <v>0</v>
      </c>
      <c r="I9" s="3">
        <f>IF(CATA!H12=1,1,0)</f>
        <v>0</v>
      </c>
      <c r="J9" s="3">
        <f>IF(CATA!I12=1,1,0)</f>
        <v>0</v>
      </c>
      <c r="K9" s="3">
        <f>IF(CATA!J12=1,1,0)</f>
        <v>1</v>
      </c>
      <c r="L9" s="3">
        <f>IF(CATA!K12=1,1,0)</f>
        <v>1</v>
      </c>
      <c r="M9" s="3">
        <f>IF(CATA!L12=1,1,0)</f>
        <v>1</v>
      </c>
      <c r="N9" s="3">
        <f>IF(CATA!M12=1,1,0)</f>
        <v>0</v>
      </c>
      <c r="O9" s="3">
        <f>IF(CATA!N12=1,1,0)</f>
        <v>0</v>
      </c>
      <c r="P9" s="3">
        <f>IF(CATA!O12=1,1,0)</f>
        <v>0</v>
      </c>
      <c r="Q9" s="3">
        <f>IF(CATA!P12=1,1,0)</f>
        <v>1</v>
      </c>
      <c r="R9" s="3">
        <f>IF(CATA!Q12=1,1,0)</f>
        <v>0</v>
      </c>
      <c r="S9" s="3">
        <f>IF(CATA!R12=1,1,0)</f>
        <v>0</v>
      </c>
      <c r="T9" s="3">
        <f>IF(CATA!S12=1,1,0)</f>
        <v>0</v>
      </c>
      <c r="U9" s="3">
        <f>IF(CATA!T12=1,1,0)</f>
        <v>1</v>
      </c>
      <c r="V9" s="3">
        <f>IF(CATA!U12=1,1,0)</f>
        <v>0</v>
      </c>
      <c r="W9" s="3">
        <f>IF(CATA!V12=1,1,0)</f>
        <v>0</v>
      </c>
      <c r="X9" s="3">
        <f>IF(CATA!W12=1,1,0)</f>
        <v>0</v>
      </c>
      <c r="Y9" s="3">
        <f>IF(CATA!X12=1,1,0)</f>
        <v>0</v>
      </c>
      <c r="Z9" s="3">
        <f>IF(CATA!Y12=1,1,0)</f>
        <v>0</v>
      </c>
      <c r="AA9" s="3">
        <f>IF(CATA!Z12=1,1,0)</f>
        <v>1</v>
      </c>
      <c r="AB9" s="3">
        <f>IF(CATA!AA12=1,1,0)</f>
        <v>0</v>
      </c>
      <c r="AC9" s="3">
        <f>IF(CATA!AB12=1,1,0)</f>
        <v>0</v>
      </c>
      <c r="AD9" s="3">
        <f>IF(CATA!AC12=1,1,0)</f>
        <v>0</v>
      </c>
      <c r="AE9" s="3">
        <f>IF(CATA!AD12=1,1,0)</f>
        <v>0</v>
      </c>
      <c r="AF9" s="3">
        <f>IF(CATA!AE12=1,1,0)</f>
        <v>1</v>
      </c>
      <c r="AG9" s="3">
        <f>IF(CATA!AF12=1,1,0)</f>
        <v>0</v>
      </c>
    </row>
    <row r="10" spans="1:33" ht="15" customHeight="1" x14ac:dyDescent="0.2">
      <c r="A10" s="3" t="str">
        <f>CATA!A13</f>
        <v>P05</v>
      </c>
      <c r="B10" s="3">
        <f>CATA!C13</f>
        <v>1</v>
      </c>
      <c r="C10" s="3" t="str">
        <f>CATA!D13</f>
        <v>527</v>
      </c>
      <c r="D10" s="3" t="str">
        <f>IF(C10=Setup!$B$5,Setup!$C$5,Setup!$C$6)</f>
        <v>Ethiopia natural (light roast)</v>
      </c>
      <c r="E10" s="3">
        <f>IF(COUNTA(CATA!E13:AF13)&gt;0,1,0)</f>
        <v>1</v>
      </c>
      <c r="F10" s="3">
        <f>IF(CATA!E13=1,1,0)</f>
        <v>1</v>
      </c>
      <c r="G10" s="3">
        <f>IF(CATA!F13=1,1,0)</f>
        <v>1</v>
      </c>
      <c r="H10" s="3">
        <f>IF(CATA!G13=1,1,0)</f>
        <v>1</v>
      </c>
      <c r="I10" s="3">
        <f>IF(CATA!H13=1,1,0)</f>
        <v>0</v>
      </c>
      <c r="J10" s="3">
        <f>IF(CATA!I13=1,1,0)</f>
        <v>0</v>
      </c>
      <c r="K10" s="3">
        <f>IF(CATA!J13=1,1,0)</f>
        <v>0</v>
      </c>
      <c r="L10" s="3">
        <f>IF(CATA!K13=1,1,0)</f>
        <v>0</v>
      </c>
      <c r="M10" s="3">
        <f>IF(CATA!L13=1,1,0)</f>
        <v>0</v>
      </c>
      <c r="N10" s="3">
        <f>IF(CATA!M13=1,1,0)</f>
        <v>1</v>
      </c>
      <c r="O10" s="3">
        <f>IF(CATA!N13=1,1,0)</f>
        <v>0</v>
      </c>
      <c r="P10" s="3">
        <f>IF(CATA!O13=1,1,0)</f>
        <v>1</v>
      </c>
      <c r="Q10" s="3">
        <f>IF(CATA!P13=1,1,0)</f>
        <v>0</v>
      </c>
      <c r="R10" s="3">
        <f>IF(CATA!Q13=1,1,0)</f>
        <v>0</v>
      </c>
      <c r="S10" s="3">
        <f>IF(CATA!R13=1,1,0)</f>
        <v>0</v>
      </c>
      <c r="T10" s="3">
        <f>IF(CATA!S13=1,1,0)</f>
        <v>0</v>
      </c>
      <c r="U10" s="3">
        <f>IF(CATA!T13=1,1,0)</f>
        <v>0</v>
      </c>
      <c r="V10" s="3">
        <f>IF(CATA!U13=1,1,0)</f>
        <v>0</v>
      </c>
      <c r="W10" s="3">
        <f>IF(CATA!V13=1,1,0)</f>
        <v>1</v>
      </c>
      <c r="X10" s="3">
        <f>IF(CATA!W13=1,1,0)</f>
        <v>0</v>
      </c>
      <c r="Y10" s="3">
        <f>IF(CATA!X13=1,1,0)</f>
        <v>1</v>
      </c>
      <c r="Z10" s="3">
        <f>IF(CATA!Y13=1,1,0)</f>
        <v>0</v>
      </c>
      <c r="AA10" s="3">
        <f>IF(CATA!Z13=1,1,0)</f>
        <v>0</v>
      </c>
      <c r="AB10" s="3">
        <f>IF(CATA!AA13=1,1,0)</f>
        <v>0</v>
      </c>
      <c r="AC10" s="3">
        <f>IF(CATA!AB13=1,1,0)</f>
        <v>1</v>
      </c>
      <c r="AD10" s="3">
        <f>IF(CATA!AC13=1,1,0)</f>
        <v>0</v>
      </c>
      <c r="AE10" s="3">
        <f>IF(CATA!AD13=1,1,0)</f>
        <v>0</v>
      </c>
      <c r="AF10" s="3">
        <f>IF(CATA!AE13=1,1,0)</f>
        <v>0</v>
      </c>
      <c r="AG10" s="3">
        <f>IF(CATA!AF13=1,1,0)</f>
        <v>0</v>
      </c>
    </row>
    <row r="11" spans="1:33" ht="15" customHeight="1" x14ac:dyDescent="0.2">
      <c r="A11" s="3" t="str">
        <f>CATA!A14</f>
        <v>P05</v>
      </c>
      <c r="B11" s="3">
        <f>CATA!C14</f>
        <v>2</v>
      </c>
      <c r="C11" s="3" t="str">
        <f>CATA!D14</f>
        <v>381</v>
      </c>
      <c r="D11" s="3" t="str">
        <f>IF(C11=Setup!$B$5,Setup!$C$5,Setup!$C$6)</f>
        <v>Robusta Temanggung (dark roast)</v>
      </c>
      <c r="E11" s="3">
        <f>IF(COUNTA(CATA!E14:AF14)&gt;0,1,0)</f>
        <v>1</v>
      </c>
      <c r="F11" s="3">
        <f>IF(CATA!E14=1,1,0)</f>
        <v>0</v>
      </c>
      <c r="G11" s="3">
        <f>IF(CATA!F14=1,1,0)</f>
        <v>0</v>
      </c>
      <c r="H11" s="3">
        <f>IF(CATA!G14=1,1,0)</f>
        <v>1</v>
      </c>
      <c r="I11" s="3">
        <f>IF(CATA!H14=1,1,0)</f>
        <v>0</v>
      </c>
      <c r="J11" s="3">
        <f>IF(CATA!I14=1,1,0)</f>
        <v>1</v>
      </c>
      <c r="K11" s="3">
        <f>IF(CATA!J14=1,1,0)</f>
        <v>1</v>
      </c>
      <c r="L11" s="3">
        <f>IF(CATA!K14=1,1,0)</f>
        <v>1</v>
      </c>
      <c r="M11" s="3">
        <f>IF(CATA!L14=1,1,0)</f>
        <v>1</v>
      </c>
      <c r="N11" s="3">
        <f>IF(CATA!M14=1,1,0)</f>
        <v>0</v>
      </c>
      <c r="O11" s="3">
        <f>IF(CATA!N14=1,1,0)</f>
        <v>0</v>
      </c>
      <c r="P11" s="3">
        <f>IF(CATA!O14=1,1,0)</f>
        <v>0</v>
      </c>
      <c r="Q11" s="3">
        <f>IF(CATA!P14=1,1,0)</f>
        <v>0</v>
      </c>
      <c r="R11" s="3">
        <f>IF(CATA!Q14=1,1,0)</f>
        <v>0</v>
      </c>
      <c r="S11" s="3">
        <f>IF(CATA!R14=1,1,0)</f>
        <v>0</v>
      </c>
      <c r="T11" s="3">
        <f>IF(CATA!S14=1,1,0)</f>
        <v>1</v>
      </c>
      <c r="U11" s="3">
        <f>IF(CATA!T14=1,1,0)</f>
        <v>0</v>
      </c>
      <c r="V11" s="3">
        <f>IF(CATA!U14=1,1,0)</f>
        <v>0</v>
      </c>
      <c r="W11" s="3">
        <f>IF(CATA!V14=1,1,0)</f>
        <v>0</v>
      </c>
      <c r="X11" s="3">
        <f>IF(CATA!W14=1,1,0)</f>
        <v>0</v>
      </c>
      <c r="Y11" s="3">
        <f>IF(CATA!X14=1,1,0)</f>
        <v>0</v>
      </c>
      <c r="Z11" s="3">
        <f>IF(CATA!Y14=1,1,0)</f>
        <v>0</v>
      </c>
      <c r="AA11" s="3">
        <f>IF(CATA!Z14=1,1,0)</f>
        <v>1</v>
      </c>
      <c r="AB11" s="3">
        <f>IF(CATA!AA14=1,1,0)</f>
        <v>1</v>
      </c>
      <c r="AC11" s="3">
        <f>IF(CATA!AB14=1,1,0)</f>
        <v>0</v>
      </c>
      <c r="AD11" s="3">
        <f>IF(CATA!AC14=1,1,0)</f>
        <v>0</v>
      </c>
      <c r="AE11" s="3">
        <f>IF(CATA!AD14=1,1,0)</f>
        <v>0</v>
      </c>
      <c r="AF11" s="3">
        <f>IF(CATA!AE14=1,1,0)</f>
        <v>0</v>
      </c>
      <c r="AG11" s="3">
        <f>IF(CATA!AF14=1,1,0)</f>
        <v>1</v>
      </c>
    </row>
    <row r="12" spans="1:33" ht="15" customHeight="1" x14ac:dyDescent="0.2">
      <c r="A12" s="3" t="str">
        <f>CATA!A15</f>
        <v>P06</v>
      </c>
      <c r="B12" s="3">
        <f>CATA!C15</f>
        <v>1</v>
      </c>
      <c r="C12" s="3" t="str">
        <f>CATA!D15</f>
        <v>527</v>
      </c>
      <c r="D12" s="3" t="str">
        <f>IF(C12=Setup!$B$5,Setup!$C$5,Setup!$C$6)</f>
        <v>Ethiopia natural (light roast)</v>
      </c>
      <c r="E12" s="3">
        <f>IF(COUNTA(CATA!E15:AF15)&gt;0,1,0)</f>
        <v>1</v>
      </c>
      <c r="F12" s="3">
        <f>IF(CATA!E15=1,1,0)</f>
        <v>0</v>
      </c>
      <c r="G12" s="3">
        <f>IF(CATA!F15=1,1,0)</f>
        <v>0</v>
      </c>
      <c r="H12" s="3">
        <f>IF(CATA!G15=1,1,0)</f>
        <v>1</v>
      </c>
      <c r="I12" s="3">
        <f>IF(CATA!H15=1,1,0)</f>
        <v>0</v>
      </c>
      <c r="J12" s="3">
        <f>IF(CATA!I15=1,1,0)</f>
        <v>0</v>
      </c>
      <c r="K12" s="3">
        <f>IF(CATA!J15=1,1,0)</f>
        <v>0</v>
      </c>
      <c r="L12" s="3">
        <f>IF(CATA!K15=1,1,0)</f>
        <v>0</v>
      </c>
      <c r="M12" s="3">
        <f>IF(CATA!L15=1,1,0)</f>
        <v>0</v>
      </c>
      <c r="N12" s="3">
        <f>IF(CATA!M15=1,1,0)</f>
        <v>1</v>
      </c>
      <c r="O12" s="3">
        <f>IF(CATA!N15=1,1,0)</f>
        <v>0</v>
      </c>
      <c r="P12" s="3">
        <f>IF(CATA!O15=1,1,0)</f>
        <v>1</v>
      </c>
      <c r="Q12" s="3">
        <f>IF(CATA!P15=1,1,0)</f>
        <v>0</v>
      </c>
      <c r="R12" s="3">
        <f>IF(CATA!Q15=1,1,0)</f>
        <v>0</v>
      </c>
      <c r="S12" s="3">
        <f>IF(CATA!R15=1,1,0)</f>
        <v>0</v>
      </c>
      <c r="T12" s="3">
        <f>IF(CATA!S15=1,1,0)</f>
        <v>0</v>
      </c>
      <c r="U12" s="3">
        <f>IF(CATA!T15=1,1,0)</f>
        <v>1</v>
      </c>
      <c r="V12" s="3">
        <f>IF(CATA!U15=1,1,0)</f>
        <v>0</v>
      </c>
      <c r="W12" s="3">
        <f>IF(CATA!V15=1,1,0)</f>
        <v>1</v>
      </c>
      <c r="X12" s="3">
        <f>IF(CATA!W15=1,1,0)</f>
        <v>0</v>
      </c>
      <c r="Y12" s="3">
        <f>IF(CATA!X15=1,1,0)</f>
        <v>0</v>
      </c>
      <c r="Z12" s="3">
        <f>IF(CATA!Y15=1,1,0)</f>
        <v>1</v>
      </c>
      <c r="AA12" s="3">
        <f>IF(CATA!Z15=1,1,0)</f>
        <v>0</v>
      </c>
      <c r="AB12" s="3">
        <f>IF(CATA!AA15=1,1,0)</f>
        <v>0</v>
      </c>
      <c r="AC12" s="3">
        <f>IF(CATA!AB15=1,1,0)</f>
        <v>1</v>
      </c>
      <c r="AD12" s="3">
        <f>IF(CATA!AC15=1,1,0)</f>
        <v>0</v>
      </c>
      <c r="AE12" s="3">
        <f>IF(CATA!AD15=1,1,0)</f>
        <v>1</v>
      </c>
      <c r="AF12" s="3">
        <f>IF(CATA!AE15=1,1,0)</f>
        <v>0</v>
      </c>
      <c r="AG12" s="3">
        <f>IF(CATA!AF15=1,1,0)</f>
        <v>0</v>
      </c>
    </row>
    <row r="13" spans="1:33" ht="15" customHeight="1" x14ac:dyDescent="0.2">
      <c r="A13" s="3" t="str">
        <f>CATA!A16</f>
        <v>P06</v>
      </c>
      <c r="B13" s="3">
        <f>CATA!C16</f>
        <v>2</v>
      </c>
      <c r="C13" s="3" t="str">
        <f>CATA!D16</f>
        <v>381</v>
      </c>
      <c r="D13" s="3" t="str">
        <f>IF(C13=Setup!$B$5,Setup!$C$5,Setup!$C$6)</f>
        <v>Robusta Temanggung (dark roast)</v>
      </c>
      <c r="E13" s="3">
        <f>IF(COUNTA(CATA!E16:AF16)&gt;0,1,0)</f>
        <v>1</v>
      </c>
      <c r="F13" s="3">
        <f>IF(CATA!E16=1,1,0)</f>
        <v>0</v>
      </c>
      <c r="G13" s="3">
        <f>IF(CATA!F16=1,1,0)</f>
        <v>0</v>
      </c>
      <c r="H13" s="3">
        <f>IF(CATA!G16=1,1,0)</f>
        <v>0</v>
      </c>
      <c r="I13" s="3">
        <f>IF(CATA!H16=1,1,0)</f>
        <v>0</v>
      </c>
      <c r="J13" s="3">
        <f>IF(CATA!I16=1,1,0)</f>
        <v>0</v>
      </c>
      <c r="K13" s="3">
        <f>IF(CATA!J16=1,1,0)</f>
        <v>1</v>
      </c>
      <c r="L13" s="3">
        <f>IF(CATA!K16=1,1,0)</f>
        <v>0</v>
      </c>
      <c r="M13" s="3">
        <f>IF(CATA!L16=1,1,0)</f>
        <v>0</v>
      </c>
      <c r="N13" s="3">
        <f>IF(CATA!M16=1,1,0)</f>
        <v>0</v>
      </c>
      <c r="O13" s="3">
        <f>IF(CATA!N16=1,1,0)</f>
        <v>0</v>
      </c>
      <c r="P13" s="3">
        <f>IF(CATA!O16=1,1,0)</f>
        <v>0</v>
      </c>
      <c r="Q13" s="3">
        <f>IF(CATA!P16=1,1,0)</f>
        <v>1</v>
      </c>
      <c r="R13" s="3">
        <f>IF(CATA!Q16=1,1,0)</f>
        <v>0</v>
      </c>
      <c r="S13" s="3">
        <f>IF(CATA!R16=1,1,0)</f>
        <v>1</v>
      </c>
      <c r="T13" s="3">
        <f>IF(CATA!S16=1,1,0)</f>
        <v>1</v>
      </c>
      <c r="U13" s="3">
        <f>IF(CATA!T16=1,1,0)</f>
        <v>1</v>
      </c>
      <c r="V13" s="3">
        <f>IF(CATA!U16=1,1,0)</f>
        <v>0</v>
      </c>
      <c r="W13" s="3">
        <f>IF(CATA!V16=1,1,0)</f>
        <v>0</v>
      </c>
      <c r="X13" s="3">
        <f>IF(CATA!W16=1,1,0)</f>
        <v>0</v>
      </c>
      <c r="Y13" s="3">
        <f>IF(CATA!X16=1,1,0)</f>
        <v>0</v>
      </c>
      <c r="Z13" s="3">
        <f>IF(CATA!Y16=1,1,0)</f>
        <v>0</v>
      </c>
      <c r="AA13" s="3">
        <f>IF(CATA!Z16=1,1,0)</f>
        <v>1</v>
      </c>
      <c r="AB13" s="3">
        <f>IF(CATA!AA16=1,1,0)</f>
        <v>0</v>
      </c>
      <c r="AC13" s="3">
        <f>IF(CATA!AB16=1,1,0)</f>
        <v>0</v>
      </c>
      <c r="AD13" s="3">
        <f>IF(CATA!AC16=1,1,0)</f>
        <v>0</v>
      </c>
      <c r="AE13" s="3">
        <f>IF(CATA!AD16=1,1,0)</f>
        <v>0</v>
      </c>
      <c r="AF13" s="3">
        <f>IF(CATA!AE16=1,1,0)</f>
        <v>1</v>
      </c>
      <c r="AG13" s="3">
        <f>IF(CATA!AF16=1,1,0)</f>
        <v>1</v>
      </c>
    </row>
    <row r="14" spans="1:33" ht="15" customHeight="1" x14ac:dyDescent="0.2">
      <c r="A14" s="3" t="str">
        <f>CATA!A17</f>
        <v>P07</v>
      </c>
      <c r="B14" s="3">
        <f>CATA!C17</f>
        <v>1</v>
      </c>
      <c r="C14" s="3" t="str">
        <f>CATA!D17</f>
        <v>527</v>
      </c>
      <c r="D14" s="3" t="str">
        <f>IF(C14=Setup!$B$5,Setup!$C$5,Setup!$C$6)</f>
        <v>Ethiopia natural (light roast)</v>
      </c>
      <c r="E14" s="3">
        <f>IF(COUNTA(CATA!E17:AF17)&gt;0,1,0)</f>
        <v>1</v>
      </c>
      <c r="F14" s="3">
        <f>IF(CATA!E17=1,1,0)</f>
        <v>1</v>
      </c>
      <c r="G14" s="3">
        <f>IF(CATA!F17=1,1,0)</f>
        <v>1</v>
      </c>
      <c r="H14" s="3">
        <f>IF(CATA!G17=1,1,0)</f>
        <v>1</v>
      </c>
      <c r="I14" s="3">
        <f>IF(CATA!H17=1,1,0)</f>
        <v>1</v>
      </c>
      <c r="J14" s="3">
        <f>IF(CATA!I17=1,1,0)</f>
        <v>0</v>
      </c>
      <c r="K14" s="3">
        <f>IF(CATA!J17=1,1,0)</f>
        <v>0</v>
      </c>
      <c r="L14" s="3">
        <f>IF(CATA!K17=1,1,0)</f>
        <v>0</v>
      </c>
      <c r="M14" s="3">
        <f>IF(CATA!L17=1,1,0)</f>
        <v>0</v>
      </c>
      <c r="N14" s="3">
        <f>IF(CATA!M17=1,1,0)</f>
        <v>1</v>
      </c>
      <c r="O14" s="3">
        <f>IF(CATA!N17=1,1,0)</f>
        <v>1</v>
      </c>
      <c r="P14" s="3">
        <f>IF(CATA!O17=1,1,0)</f>
        <v>1</v>
      </c>
      <c r="Q14" s="3">
        <f>IF(CATA!P17=1,1,0)</f>
        <v>1</v>
      </c>
      <c r="R14" s="3">
        <f>IF(CATA!Q17=1,1,0)</f>
        <v>0</v>
      </c>
      <c r="S14" s="3">
        <f>IF(CATA!R17=1,1,0)</f>
        <v>0</v>
      </c>
      <c r="T14" s="3">
        <f>IF(CATA!S17=1,1,0)</f>
        <v>0</v>
      </c>
      <c r="U14" s="3">
        <f>IF(CATA!T17=1,1,0)</f>
        <v>0</v>
      </c>
      <c r="V14" s="3">
        <f>IF(CATA!U17=1,1,0)</f>
        <v>0</v>
      </c>
      <c r="W14" s="3">
        <f>IF(CATA!V17=1,1,0)</f>
        <v>0</v>
      </c>
      <c r="X14" s="3">
        <f>IF(CATA!W17=1,1,0)</f>
        <v>0</v>
      </c>
      <c r="Y14" s="3">
        <f>IF(CATA!X17=1,1,0)</f>
        <v>1</v>
      </c>
      <c r="Z14" s="3">
        <f>IF(CATA!Y17=1,1,0)</f>
        <v>0</v>
      </c>
      <c r="AA14" s="3">
        <f>IF(CATA!Z17=1,1,0)</f>
        <v>1</v>
      </c>
      <c r="AB14" s="3">
        <f>IF(CATA!AA17=1,1,0)</f>
        <v>0</v>
      </c>
      <c r="AC14" s="3">
        <f>IF(CATA!AB17=1,1,0)</f>
        <v>0</v>
      </c>
      <c r="AD14" s="3">
        <f>IF(CATA!AC17=1,1,0)</f>
        <v>0</v>
      </c>
      <c r="AE14" s="3">
        <f>IF(CATA!AD17=1,1,0)</f>
        <v>1</v>
      </c>
      <c r="AF14" s="3">
        <f>IF(CATA!AE17=1,1,0)</f>
        <v>1</v>
      </c>
      <c r="AG14" s="3">
        <f>IF(CATA!AF17=1,1,0)</f>
        <v>0</v>
      </c>
    </row>
    <row r="15" spans="1:33" ht="15" customHeight="1" x14ac:dyDescent="0.2">
      <c r="A15" s="3" t="str">
        <f>CATA!A18</f>
        <v>P07</v>
      </c>
      <c r="B15" s="3">
        <f>CATA!C18</f>
        <v>2</v>
      </c>
      <c r="C15" s="3" t="str">
        <f>CATA!D18</f>
        <v>381</v>
      </c>
      <c r="D15" s="3" t="str">
        <f>IF(C15=Setup!$B$5,Setup!$C$5,Setup!$C$6)</f>
        <v>Robusta Temanggung (dark roast)</v>
      </c>
      <c r="E15" s="3">
        <f>IF(COUNTA(CATA!E18:AF18)&gt;0,1,0)</f>
        <v>1</v>
      </c>
      <c r="F15" s="3">
        <f>IF(CATA!E18=1,1,0)</f>
        <v>0</v>
      </c>
      <c r="G15" s="3">
        <f>IF(CATA!F18=1,1,0)</f>
        <v>0</v>
      </c>
      <c r="H15" s="3">
        <f>IF(CATA!G18=1,1,0)</f>
        <v>0</v>
      </c>
      <c r="I15" s="3">
        <f>IF(CATA!H18=1,1,0)</f>
        <v>1</v>
      </c>
      <c r="J15" s="3">
        <f>IF(CATA!I18=1,1,0)</f>
        <v>1</v>
      </c>
      <c r="K15" s="3">
        <f>IF(CATA!J18=1,1,0)</f>
        <v>0</v>
      </c>
      <c r="L15" s="3">
        <f>IF(CATA!K18=1,1,0)</f>
        <v>1</v>
      </c>
      <c r="M15" s="3">
        <f>IF(CATA!L18=1,1,0)</f>
        <v>1</v>
      </c>
      <c r="N15" s="3">
        <f>IF(CATA!M18=1,1,0)</f>
        <v>1</v>
      </c>
      <c r="O15" s="3">
        <f>IF(CATA!N18=1,1,0)</f>
        <v>0</v>
      </c>
      <c r="P15" s="3">
        <f>IF(CATA!O18=1,1,0)</f>
        <v>0</v>
      </c>
      <c r="Q15" s="3">
        <f>IF(CATA!P18=1,1,0)</f>
        <v>1</v>
      </c>
      <c r="R15" s="3">
        <f>IF(CATA!Q18=1,1,0)</f>
        <v>0</v>
      </c>
      <c r="S15" s="3">
        <f>IF(CATA!R18=1,1,0)</f>
        <v>0</v>
      </c>
      <c r="T15" s="3">
        <f>IF(CATA!S18=1,1,0)</f>
        <v>1</v>
      </c>
      <c r="U15" s="3">
        <f>IF(CATA!T18=1,1,0)</f>
        <v>1</v>
      </c>
      <c r="V15" s="3">
        <f>IF(CATA!U18=1,1,0)</f>
        <v>1</v>
      </c>
      <c r="W15" s="3">
        <f>IF(CATA!V18=1,1,0)</f>
        <v>0</v>
      </c>
      <c r="X15" s="3">
        <f>IF(CATA!W18=1,1,0)</f>
        <v>0</v>
      </c>
      <c r="Y15" s="3">
        <f>IF(CATA!X18=1,1,0)</f>
        <v>0</v>
      </c>
      <c r="Z15" s="3">
        <f>IF(CATA!Y18=1,1,0)</f>
        <v>0</v>
      </c>
      <c r="AA15" s="3">
        <f>IF(CATA!Z18=1,1,0)</f>
        <v>1</v>
      </c>
      <c r="AB15" s="3">
        <f>IF(CATA!AA18=1,1,0)</f>
        <v>0</v>
      </c>
      <c r="AC15" s="3">
        <f>IF(CATA!AB18=1,1,0)</f>
        <v>0</v>
      </c>
      <c r="AD15" s="3">
        <f>IF(CATA!AC18=1,1,0)</f>
        <v>1</v>
      </c>
      <c r="AE15" s="3">
        <f>IF(CATA!AD18=1,1,0)</f>
        <v>0</v>
      </c>
      <c r="AF15" s="3">
        <f>IF(CATA!AE18=1,1,0)</f>
        <v>1</v>
      </c>
      <c r="AG15" s="3">
        <f>IF(CATA!AF18=1,1,0)</f>
        <v>0</v>
      </c>
    </row>
    <row r="16" spans="1:33" ht="15" customHeight="1" x14ac:dyDescent="0.2">
      <c r="A16" s="3" t="str">
        <f>CATA!A19</f>
        <v>P08</v>
      </c>
      <c r="B16" s="3">
        <f>CATA!C19</f>
        <v>1</v>
      </c>
      <c r="C16" s="3" t="str">
        <f>CATA!D19</f>
        <v>527</v>
      </c>
      <c r="D16" s="3" t="str">
        <f>IF(C16=Setup!$B$5,Setup!$C$5,Setup!$C$6)</f>
        <v>Ethiopia natural (light roast)</v>
      </c>
      <c r="E16" s="3">
        <f>IF(COUNTA(CATA!E19:AF19)&gt;0,1,0)</f>
        <v>1</v>
      </c>
      <c r="F16" s="3">
        <f>IF(CATA!E19=1,1,0)</f>
        <v>1</v>
      </c>
      <c r="G16" s="3">
        <f>IF(CATA!F19=1,1,0)</f>
        <v>1</v>
      </c>
      <c r="H16" s="3">
        <f>IF(CATA!G19=1,1,0)</f>
        <v>0</v>
      </c>
      <c r="I16" s="3">
        <f>IF(CATA!H19=1,1,0)</f>
        <v>0</v>
      </c>
      <c r="J16" s="3">
        <f>IF(CATA!I19=1,1,0)</f>
        <v>0</v>
      </c>
      <c r="K16" s="3">
        <f>IF(CATA!J19=1,1,0)</f>
        <v>0</v>
      </c>
      <c r="L16" s="3">
        <f>IF(CATA!K19=1,1,0)</f>
        <v>0</v>
      </c>
      <c r="M16" s="3">
        <f>IF(CATA!L19=1,1,0)</f>
        <v>1</v>
      </c>
      <c r="N16" s="3">
        <f>IF(CATA!M19=1,1,0)</f>
        <v>1</v>
      </c>
      <c r="O16" s="3">
        <f>IF(CATA!N19=1,1,0)</f>
        <v>0</v>
      </c>
      <c r="P16" s="3">
        <f>IF(CATA!O19=1,1,0)</f>
        <v>1</v>
      </c>
      <c r="Q16" s="3">
        <f>IF(CATA!P19=1,1,0)</f>
        <v>0</v>
      </c>
      <c r="R16" s="3">
        <f>IF(CATA!Q19=1,1,0)</f>
        <v>0</v>
      </c>
      <c r="S16" s="3">
        <f>IF(CATA!R19=1,1,0)</f>
        <v>0</v>
      </c>
      <c r="T16" s="3">
        <f>IF(CATA!S19=1,1,0)</f>
        <v>0</v>
      </c>
      <c r="U16" s="3">
        <f>IF(CATA!T19=1,1,0)</f>
        <v>0</v>
      </c>
      <c r="V16" s="3">
        <f>IF(CATA!U19=1,1,0)</f>
        <v>0</v>
      </c>
      <c r="W16" s="3">
        <f>IF(CATA!V19=1,1,0)</f>
        <v>0</v>
      </c>
      <c r="X16" s="3">
        <f>IF(CATA!W19=1,1,0)</f>
        <v>0</v>
      </c>
      <c r="Y16" s="3">
        <f>IF(CATA!X19=1,1,0)</f>
        <v>0</v>
      </c>
      <c r="Z16" s="3">
        <f>IF(CATA!Y19=1,1,0)</f>
        <v>1</v>
      </c>
      <c r="AA16" s="3">
        <f>IF(CATA!Z19=1,1,0)</f>
        <v>0</v>
      </c>
      <c r="AB16" s="3">
        <f>IF(CATA!AA19=1,1,0)</f>
        <v>0</v>
      </c>
      <c r="AC16" s="3">
        <f>IF(CATA!AB19=1,1,0)</f>
        <v>0</v>
      </c>
      <c r="AD16" s="3">
        <f>IF(CATA!AC19=1,1,0)</f>
        <v>0</v>
      </c>
      <c r="AE16" s="3">
        <f>IF(CATA!AD19=1,1,0)</f>
        <v>0</v>
      </c>
      <c r="AF16" s="3">
        <f>IF(CATA!AE19=1,1,0)</f>
        <v>1</v>
      </c>
      <c r="AG16" s="3">
        <f>IF(CATA!AF19=1,1,0)</f>
        <v>0</v>
      </c>
    </row>
    <row r="17" spans="1:33" ht="15" customHeight="1" x14ac:dyDescent="0.2">
      <c r="A17" s="3" t="str">
        <f>CATA!A20</f>
        <v>P08</v>
      </c>
      <c r="B17" s="3">
        <f>CATA!C20</f>
        <v>2</v>
      </c>
      <c r="C17" s="3" t="str">
        <f>CATA!D20</f>
        <v>381</v>
      </c>
      <c r="D17" s="3" t="str">
        <f>IF(C17=Setup!$B$5,Setup!$C$5,Setup!$C$6)</f>
        <v>Robusta Temanggung (dark roast)</v>
      </c>
      <c r="E17" s="3">
        <f>IF(COUNTA(CATA!E20:AF20)&gt;0,1,0)</f>
        <v>1</v>
      </c>
      <c r="F17" s="3">
        <f>IF(CATA!E20=1,1,0)</f>
        <v>0</v>
      </c>
      <c r="G17" s="3">
        <f>IF(CATA!F20=1,1,0)</f>
        <v>0</v>
      </c>
      <c r="H17" s="3">
        <f>IF(CATA!G20=1,1,0)</f>
        <v>0</v>
      </c>
      <c r="I17" s="3">
        <f>IF(CATA!H20=1,1,0)</f>
        <v>0</v>
      </c>
      <c r="J17" s="3">
        <f>IF(CATA!I20=1,1,0)</f>
        <v>0</v>
      </c>
      <c r="K17" s="3">
        <f>IF(CATA!J20=1,1,0)</f>
        <v>1</v>
      </c>
      <c r="L17" s="3">
        <f>IF(CATA!K20=1,1,0)</f>
        <v>0</v>
      </c>
      <c r="M17" s="3">
        <f>IF(CATA!L20=1,1,0)</f>
        <v>0</v>
      </c>
      <c r="N17" s="3">
        <f>IF(CATA!M20=1,1,0)</f>
        <v>0</v>
      </c>
      <c r="O17" s="3">
        <f>IF(CATA!N20=1,1,0)</f>
        <v>0</v>
      </c>
      <c r="P17" s="3">
        <f>IF(CATA!O20=1,1,0)</f>
        <v>1</v>
      </c>
      <c r="Q17" s="3">
        <f>IF(CATA!P20=1,1,0)</f>
        <v>0</v>
      </c>
      <c r="R17" s="3">
        <f>IF(CATA!Q20=1,1,0)</f>
        <v>1</v>
      </c>
      <c r="S17" s="3">
        <f>IF(CATA!R20=1,1,0)</f>
        <v>1</v>
      </c>
      <c r="T17" s="3">
        <f>IF(CATA!S20=1,1,0)</f>
        <v>1</v>
      </c>
      <c r="U17" s="3">
        <f>IF(CATA!T20=1,1,0)</f>
        <v>1</v>
      </c>
      <c r="V17" s="3">
        <f>IF(CATA!U20=1,1,0)</f>
        <v>0</v>
      </c>
      <c r="W17" s="3">
        <f>IF(CATA!V20=1,1,0)</f>
        <v>0</v>
      </c>
      <c r="X17" s="3">
        <f>IF(CATA!W20=1,1,0)</f>
        <v>0</v>
      </c>
      <c r="Y17" s="3">
        <f>IF(CATA!X20=1,1,0)</f>
        <v>0</v>
      </c>
      <c r="Z17" s="3">
        <f>IF(CATA!Y20=1,1,0)</f>
        <v>0</v>
      </c>
      <c r="AA17" s="3">
        <f>IF(CATA!Z20=1,1,0)</f>
        <v>1</v>
      </c>
      <c r="AB17" s="3">
        <f>IF(CATA!AA20=1,1,0)</f>
        <v>1</v>
      </c>
      <c r="AC17" s="3">
        <f>IF(CATA!AB20=1,1,0)</f>
        <v>0</v>
      </c>
      <c r="AD17" s="3">
        <f>IF(CATA!AC20=1,1,0)</f>
        <v>1</v>
      </c>
      <c r="AE17" s="3">
        <f>IF(CATA!AD20=1,1,0)</f>
        <v>0</v>
      </c>
      <c r="AF17" s="3">
        <f>IF(CATA!AE20=1,1,0)</f>
        <v>0</v>
      </c>
      <c r="AG17" s="3">
        <f>IF(CATA!AF20=1,1,0)</f>
        <v>1</v>
      </c>
    </row>
    <row r="18" spans="1:33" ht="15" customHeight="1" x14ac:dyDescent="0.2">
      <c r="A18" s="3" t="str">
        <f>CATA!A21</f>
        <v>P09</v>
      </c>
      <c r="B18" s="3">
        <f>CATA!C21</f>
        <v>1</v>
      </c>
      <c r="C18" s="3" t="str">
        <f>CATA!D21</f>
        <v>527</v>
      </c>
      <c r="D18" s="3" t="str">
        <f>IF(C18=Setup!$B$5,Setup!$C$5,Setup!$C$6)</f>
        <v>Ethiopia natural (light roast)</v>
      </c>
      <c r="E18" s="3">
        <f>IF(COUNTA(CATA!E21:AF21)&gt;0,1,0)</f>
        <v>1</v>
      </c>
      <c r="F18" s="3">
        <f>IF(CATA!E21=1,1,0)</f>
        <v>1</v>
      </c>
      <c r="G18" s="3">
        <f>IF(CATA!F21=1,1,0)</f>
        <v>1</v>
      </c>
      <c r="H18" s="3">
        <f>IF(CATA!G21=1,1,0)</f>
        <v>0</v>
      </c>
      <c r="I18" s="3">
        <f>IF(CATA!H21=1,1,0)</f>
        <v>0</v>
      </c>
      <c r="J18" s="3">
        <f>IF(CATA!I21=1,1,0)</f>
        <v>0</v>
      </c>
      <c r="K18" s="3">
        <f>IF(CATA!J21=1,1,0)</f>
        <v>0</v>
      </c>
      <c r="L18" s="3">
        <f>IF(CATA!K21=1,1,0)</f>
        <v>0</v>
      </c>
      <c r="M18" s="3">
        <f>IF(CATA!L21=1,1,0)</f>
        <v>0</v>
      </c>
      <c r="N18" s="3">
        <f>IF(CATA!M21=1,1,0)</f>
        <v>1</v>
      </c>
      <c r="O18" s="3">
        <f>IF(CATA!N21=1,1,0)</f>
        <v>0</v>
      </c>
      <c r="P18" s="3">
        <f>IF(CATA!O21=1,1,0)</f>
        <v>1</v>
      </c>
      <c r="Q18" s="3">
        <f>IF(CATA!P21=1,1,0)</f>
        <v>0</v>
      </c>
      <c r="R18" s="3">
        <f>IF(CATA!Q21=1,1,0)</f>
        <v>0</v>
      </c>
      <c r="S18" s="3">
        <f>IF(CATA!R21=1,1,0)</f>
        <v>0</v>
      </c>
      <c r="T18" s="3">
        <f>IF(CATA!S21=1,1,0)</f>
        <v>0</v>
      </c>
      <c r="U18" s="3">
        <f>IF(CATA!T21=1,1,0)</f>
        <v>0</v>
      </c>
      <c r="V18" s="3">
        <f>IF(CATA!U21=1,1,0)</f>
        <v>0</v>
      </c>
      <c r="W18" s="3">
        <f>IF(CATA!V21=1,1,0)</f>
        <v>1</v>
      </c>
      <c r="X18" s="3">
        <f>IF(CATA!W21=1,1,0)</f>
        <v>0</v>
      </c>
      <c r="Y18" s="3">
        <f>IF(CATA!X21=1,1,0)</f>
        <v>1</v>
      </c>
      <c r="Z18" s="3">
        <f>IF(CATA!Y21=1,1,0)</f>
        <v>0</v>
      </c>
      <c r="AA18" s="3">
        <f>IF(CATA!Z21=1,1,0)</f>
        <v>0</v>
      </c>
      <c r="AB18" s="3">
        <f>IF(CATA!AA21=1,1,0)</f>
        <v>0</v>
      </c>
      <c r="AC18" s="3">
        <f>IF(CATA!AB21=1,1,0)</f>
        <v>0</v>
      </c>
      <c r="AD18" s="3">
        <f>IF(CATA!AC21=1,1,0)</f>
        <v>1</v>
      </c>
      <c r="AE18" s="3">
        <f>IF(CATA!AD21=1,1,0)</f>
        <v>0</v>
      </c>
      <c r="AF18" s="3">
        <f>IF(CATA!AE21=1,1,0)</f>
        <v>1</v>
      </c>
      <c r="AG18" s="3">
        <f>IF(CATA!AF21=1,1,0)</f>
        <v>0</v>
      </c>
    </row>
    <row r="19" spans="1:33" ht="15" customHeight="1" x14ac:dyDescent="0.2">
      <c r="A19" s="3" t="str">
        <f>CATA!A22</f>
        <v>P09</v>
      </c>
      <c r="B19" s="3">
        <f>CATA!C22</f>
        <v>2</v>
      </c>
      <c r="C19" s="3" t="str">
        <f>CATA!D22</f>
        <v>381</v>
      </c>
      <c r="D19" s="3" t="str">
        <f>IF(C19=Setup!$B$5,Setup!$C$5,Setup!$C$6)</f>
        <v>Robusta Temanggung (dark roast)</v>
      </c>
      <c r="E19" s="3">
        <f>IF(COUNTA(CATA!E22:AF22)&gt;0,1,0)</f>
        <v>1</v>
      </c>
      <c r="F19" s="3">
        <f>IF(CATA!E22=1,1,0)</f>
        <v>0</v>
      </c>
      <c r="G19" s="3">
        <f>IF(CATA!F22=1,1,0)</f>
        <v>0</v>
      </c>
      <c r="H19" s="3">
        <f>IF(CATA!G22=1,1,0)</f>
        <v>0</v>
      </c>
      <c r="I19" s="3">
        <f>IF(CATA!H22=1,1,0)</f>
        <v>0</v>
      </c>
      <c r="J19" s="3">
        <f>IF(CATA!I22=1,1,0)</f>
        <v>0</v>
      </c>
      <c r="K19" s="3">
        <f>IF(CATA!J22=1,1,0)</f>
        <v>1</v>
      </c>
      <c r="L19" s="3">
        <f>IF(CATA!K22=1,1,0)</f>
        <v>0</v>
      </c>
      <c r="M19" s="3">
        <f>IF(CATA!L22=1,1,0)</f>
        <v>0</v>
      </c>
      <c r="N19" s="3">
        <f>IF(CATA!M22=1,1,0)</f>
        <v>0</v>
      </c>
      <c r="O19" s="3">
        <f>IF(CATA!N22=1,1,0)</f>
        <v>0</v>
      </c>
      <c r="P19" s="3">
        <f>IF(CATA!O22=1,1,0)</f>
        <v>0</v>
      </c>
      <c r="Q19" s="3">
        <f>IF(CATA!P22=1,1,0)</f>
        <v>0</v>
      </c>
      <c r="R19" s="3">
        <f>IF(CATA!Q22=1,1,0)</f>
        <v>0</v>
      </c>
      <c r="S19" s="3">
        <f>IF(CATA!R22=1,1,0)</f>
        <v>0</v>
      </c>
      <c r="T19" s="3">
        <f>IF(CATA!S22=1,1,0)</f>
        <v>1</v>
      </c>
      <c r="U19" s="3">
        <f>IF(CATA!T22=1,1,0)</f>
        <v>1</v>
      </c>
      <c r="V19" s="3">
        <f>IF(CATA!U22=1,1,0)</f>
        <v>1</v>
      </c>
      <c r="W19" s="3">
        <f>IF(CATA!V22=1,1,0)</f>
        <v>0</v>
      </c>
      <c r="X19" s="3">
        <f>IF(CATA!W22=1,1,0)</f>
        <v>0</v>
      </c>
      <c r="Y19" s="3">
        <f>IF(CATA!X22=1,1,0)</f>
        <v>1</v>
      </c>
      <c r="Z19" s="3">
        <f>IF(CATA!Y22=1,1,0)</f>
        <v>0</v>
      </c>
      <c r="AA19" s="3">
        <f>IF(CATA!Z22=1,1,0)</f>
        <v>1</v>
      </c>
      <c r="AB19" s="3">
        <f>IF(CATA!AA22=1,1,0)</f>
        <v>0</v>
      </c>
      <c r="AC19" s="3">
        <f>IF(CATA!AB22=1,1,0)</f>
        <v>0</v>
      </c>
      <c r="AD19" s="3">
        <f>IF(CATA!AC22=1,1,0)</f>
        <v>1</v>
      </c>
      <c r="AE19" s="3">
        <f>IF(CATA!AD22=1,1,0)</f>
        <v>1</v>
      </c>
      <c r="AF19" s="3">
        <f>IF(CATA!AE22=1,1,0)</f>
        <v>0</v>
      </c>
      <c r="AG19" s="3">
        <f>IF(CATA!AF22=1,1,0)</f>
        <v>0</v>
      </c>
    </row>
    <row r="20" spans="1:33" ht="15" customHeight="1" x14ac:dyDescent="0.2">
      <c r="A20" s="3" t="str">
        <f>CATA!A23</f>
        <v>P10</v>
      </c>
      <c r="B20" s="3">
        <f>CATA!C23</f>
        <v>1</v>
      </c>
      <c r="C20" s="3" t="str">
        <f>CATA!D23</f>
        <v>527</v>
      </c>
      <c r="D20" s="3" t="str">
        <f>IF(C20=Setup!$B$5,Setup!$C$5,Setup!$C$6)</f>
        <v>Ethiopia natural (light roast)</v>
      </c>
      <c r="E20" s="3">
        <f>IF(COUNTA(CATA!E23:AF23)&gt;0,1,0)</f>
        <v>1</v>
      </c>
      <c r="F20" s="3">
        <f>IF(CATA!E23=1,1,0)</f>
        <v>1</v>
      </c>
      <c r="G20" s="3">
        <f>IF(CATA!F23=1,1,0)</f>
        <v>1</v>
      </c>
      <c r="H20" s="3">
        <f>IF(CATA!G23=1,1,0)</f>
        <v>0</v>
      </c>
      <c r="I20" s="3">
        <f>IF(CATA!H23=1,1,0)</f>
        <v>1</v>
      </c>
      <c r="J20" s="3">
        <f>IF(CATA!I23=1,1,0)</f>
        <v>0</v>
      </c>
      <c r="K20" s="3">
        <f>IF(CATA!J23=1,1,0)</f>
        <v>0</v>
      </c>
      <c r="L20" s="3">
        <f>IF(CATA!K23=1,1,0)</f>
        <v>0</v>
      </c>
      <c r="M20" s="3">
        <f>IF(CATA!L23=1,1,0)</f>
        <v>0</v>
      </c>
      <c r="N20" s="3">
        <f>IF(CATA!M23=1,1,0)</f>
        <v>1</v>
      </c>
      <c r="O20" s="3">
        <f>IF(CATA!N23=1,1,0)</f>
        <v>1</v>
      </c>
      <c r="P20" s="3">
        <f>IF(CATA!O23=1,1,0)</f>
        <v>1</v>
      </c>
      <c r="Q20" s="3">
        <f>IF(CATA!P23=1,1,0)</f>
        <v>0</v>
      </c>
      <c r="R20" s="3">
        <f>IF(CATA!Q23=1,1,0)</f>
        <v>0</v>
      </c>
      <c r="S20" s="3">
        <f>IF(CATA!R23=1,1,0)</f>
        <v>0</v>
      </c>
      <c r="T20" s="3">
        <f>IF(CATA!S23=1,1,0)</f>
        <v>0</v>
      </c>
      <c r="U20" s="3">
        <f>IF(CATA!T23=1,1,0)</f>
        <v>0</v>
      </c>
      <c r="V20" s="3">
        <f>IF(CATA!U23=1,1,0)</f>
        <v>0</v>
      </c>
      <c r="W20" s="3">
        <f>IF(CATA!V23=1,1,0)</f>
        <v>1</v>
      </c>
      <c r="X20" s="3">
        <f>IF(CATA!W23=1,1,0)</f>
        <v>0</v>
      </c>
      <c r="Y20" s="3">
        <f>IF(CATA!X23=1,1,0)</f>
        <v>1</v>
      </c>
      <c r="Z20" s="3">
        <f>IF(CATA!Y23=1,1,0)</f>
        <v>0</v>
      </c>
      <c r="AA20" s="3">
        <f>IF(CATA!Z23=1,1,0)</f>
        <v>0</v>
      </c>
      <c r="AB20" s="3">
        <f>IF(CATA!AA23=1,1,0)</f>
        <v>0</v>
      </c>
      <c r="AC20" s="3">
        <f>IF(CATA!AB23=1,1,0)</f>
        <v>0</v>
      </c>
      <c r="AD20" s="3">
        <f>IF(CATA!AC23=1,1,0)</f>
        <v>0</v>
      </c>
      <c r="AE20" s="3">
        <f>IF(CATA!AD23=1,1,0)</f>
        <v>1</v>
      </c>
      <c r="AF20" s="3">
        <f>IF(CATA!AE23=1,1,0)</f>
        <v>1</v>
      </c>
      <c r="AG20" s="3">
        <f>IF(CATA!AF23=1,1,0)</f>
        <v>0</v>
      </c>
    </row>
    <row r="21" spans="1:33" ht="15" customHeight="1" x14ac:dyDescent="0.2">
      <c r="A21" s="3" t="str">
        <f>CATA!A24</f>
        <v>P10</v>
      </c>
      <c r="B21" s="3">
        <f>CATA!C24</f>
        <v>2</v>
      </c>
      <c r="C21" s="3" t="str">
        <f>CATA!D24</f>
        <v>381</v>
      </c>
      <c r="D21" s="3" t="str">
        <f>IF(C21=Setup!$B$5,Setup!$C$5,Setup!$C$6)</f>
        <v>Robusta Temanggung (dark roast)</v>
      </c>
      <c r="E21" s="3">
        <f>IF(COUNTA(CATA!E24:AF24)&gt;0,1,0)</f>
        <v>1</v>
      </c>
      <c r="F21" s="3">
        <f>IF(CATA!E24=1,1,0)</f>
        <v>0</v>
      </c>
      <c r="G21" s="3">
        <f>IF(CATA!F24=1,1,0)</f>
        <v>0</v>
      </c>
      <c r="H21" s="3">
        <f>IF(CATA!G24=1,1,0)</f>
        <v>0</v>
      </c>
      <c r="I21" s="3">
        <f>IF(CATA!H24=1,1,0)</f>
        <v>0</v>
      </c>
      <c r="J21" s="3">
        <f>IF(CATA!I24=1,1,0)</f>
        <v>0</v>
      </c>
      <c r="K21" s="3">
        <f>IF(CATA!J24=1,1,0)</f>
        <v>1</v>
      </c>
      <c r="L21" s="3">
        <f>IF(CATA!K24=1,1,0)</f>
        <v>1</v>
      </c>
      <c r="M21" s="3">
        <f>IF(CATA!L24=1,1,0)</f>
        <v>1</v>
      </c>
      <c r="N21" s="3">
        <f>IF(CATA!M24=1,1,0)</f>
        <v>1</v>
      </c>
      <c r="O21" s="3">
        <f>IF(CATA!N24=1,1,0)</f>
        <v>0</v>
      </c>
      <c r="P21" s="3">
        <f>IF(CATA!O24=1,1,0)</f>
        <v>0</v>
      </c>
      <c r="Q21" s="3">
        <f>IF(CATA!P24=1,1,0)</f>
        <v>0</v>
      </c>
      <c r="R21" s="3">
        <f>IF(CATA!Q24=1,1,0)</f>
        <v>0</v>
      </c>
      <c r="S21" s="3">
        <f>IF(CATA!R24=1,1,0)</f>
        <v>1</v>
      </c>
      <c r="T21" s="3">
        <f>IF(CATA!S24=1,1,0)</f>
        <v>1</v>
      </c>
      <c r="U21" s="3">
        <f>IF(CATA!T24=1,1,0)</f>
        <v>0</v>
      </c>
      <c r="V21" s="3">
        <f>IF(CATA!U24=1,1,0)</f>
        <v>1</v>
      </c>
      <c r="W21" s="3">
        <f>IF(CATA!V24=1,1,0)</f>
        <v>0</v>
      </c>
      <c r="X21" s="3">
        <f>IF(CATA!W24=1,1,0)</f>
        <v>0</v>
      </c>
      <c r="Y21" s="3">
        <f>IF(CATA!X24=1,1,0)</f>
        <v>0</v>
      </c>
      <c r="Z21" s="3">
        <f>IF(CATA!Y24=1,1,0)</f>
        <v>0</v>
      </c>
      <c r="AA21" s="3">
        <f>IF(CATA!Z24=1,1,0)</f>
        <v>1</v>
      </c>
      <c r="AB21" s="3">
        <f>IF(CATA!AA24=1,1,0)</f>
        <v>0</v>
      </c>
      <c r="AC21" s="3">
        <f>IF(CATA!AB24=1,1,0)</f>
        <v>1</v>
      </c>
      <c r="AD21" s="3">
        <f>IF(CATA!AC24=1,1,0)</f>
        <v>1</v>
      </c>
      <c r="AE21" s="3">
        <f>IF(CATA!AD24=1,1,0)</f>
        <v>0</v>
      </c>
      <c r="AF21" s="3">
        <f>IF(CATA!AE24=1,1,0)</f>
        <v>0</v>
      </c>
      <c r="AG21" s="3">
        <f>IF(CATA!AF24=1,1,0)</f>
        <v>0</v>
      </c>
    </row>
    <row r="22" spans="1:33" ht="15" customHeight="1" x14ac:dyDescent="0.2">
      <c r="A22" s="3" t="str">
        <f>CATA!A25</f>
        <v>P11</v>
      </c>
      <c r="B22" s="3">
        <f>CATA!C25</f>
        <v>1</v>
      </c>
      <c r="C22" s="3" t="str">
        <f>CATA!D25</f>
        <v>527</v>
      </c>
      <c r="D22" s="3" t="str">
        <f>IF(C22=Setup!$B$5,Setup!$C$5,Setup!$C$6)</f>
        <v>Ethiopia natural (light roast)</v>
      </c>
      <c r="E22" s="3">
        <f>IF(COUNTA(CATA!E25:AF25)&gt;0,1,0)</f>
        <v>1</v>
      </c>
      <c r="F22" s="3">
        <f>IF(CATA!E25=1,1,0)</f>
        <v>1</v>
      </c>
      <c r="G22" s="3">
        <f>IF(CATA!F25=1,1,0)</f>
        <v>1</v>
      </c>
      <c r="H22" s="3">
        <f>IF(CATA!G25=1,1,0)</f>
        <v>1</v>
      </c>
      <c r="I22" s="3">
        <f>IF(CATA!H25=1,1,0)</f>
        <v>0</v>
      </c>
      <c r="J22" s="3">
        <f>IF(CATA!I25=1,1,0)</f>
        <v>0</v>
      </c>
      <c r="K22" s="3">
        <f>IF(CATA!J25=1,1,0)</f>
        <v>0</v>
      </c>
      <c r="L22" s="3">
        <f>IF(CATA!K25=1,1,0)</f>
        <v>0</v>
      </c>
      <c r="M22" s="3">
        <f>IF(CATA!L25=1,1,0)</f>
        <v>1</v>
      </c>
      <c r="N22" s="3">
        <f>IF(CATA!M25=1,1,0)</f>
        <v>0</v>
      </c>
      <c r="O22" s="3">
        <f>IF(CATA!N25=1,1,0)</f>
        <v>0</v>
      </c>
      <c r="P22" s="3">
        <f>IF(CATA!O25=1,1,0)</f>
        <v>0</v>
      </c>
      <c r="Q22" s="3">
        <f>IF(CATA!P25=1,1,0)</f>
        <v>0</v>
      </c>
      <c r="R22" s="3">
        <f>IF(CATA!Q25=1,1,0)</f>
        <v>0</v>
      </c>
      <c r="S22" s="3">
        <f>IF(CATA!R25=1,1,0)</f>
        <v>0</v>
      </c>
      <c r="T22" s="3">
        <f>IF(CATA!S25=1,1,0)</f>
        <v>0</v>
      </c>
      <c r="U22" s="3">
        <f>IF(CATA!T25=1,1,0)</f>
        <v>1</v>
      </c>
      <c r="V22" s="3">
        <f>IF(CATA!U25=1,1,0)</f>
        <v>0</v>
      </c>
      <c r="W22" s="3">
        <f>IF(CATA!V25=1,1,0)</f>
        <v>0</v>
      </c>
      <c r="X22" s="3">
        <f>IF(CATA!W25=1,1,0)</f>
        <v>0</v>
      </c>
      <c r="Y22" s="3">
        <f>IF(CATA!X25=1,1,0)</f>
        <v>0</v>
      </c>
      <c r="Z22" s="3">
        <f>IF(CATA!Y25=1,1,0)</f>
        <v>1</v>
      </c>
      <c r="AA22" s="3">
        <f>IF(CATA!Z25=1,1,0)</f>
        <v>0</v>
      </c>
      <c r="AB22" s="3">
        <f>IF(CATA!AA25=1,1,0)</f>
        <v>0</v>
      </c>
      <c r="AC22" s="3">
        <f>IF(CATA!AB25=1,1,0)</f>
        <v>0</v>
      </c>
      <c r="AD22" s="3">
        <f>IF(CATA!AC25=1,1,0)</f>
        <v>0</v>
      </c>
      <c r="AE22" s="3">
        <f>IF(CATA!AD25=1,1,0)</f>
        <v>1</v>
      </c>
      <c r="AF22" s="3">
        <f>IF(CATA!AE25=1,1,0)</f>
        <v>0</v>
      </c>
      <c r="AG22" s="3">
        <f>IF(CATA!AF25=1,1,0)</f>
        <v>0</v>
      </c>
    </row>
    <row r="23" spans="1:33" ht="15" customHeight="1" x14ac:dyDescent="0.2">
      <c r="A23" s="3" t="str">
        <f>CATA!A26</f>
        <v>P11</v>
      </c>
      <c r="B23" s="3">
        <f>CATA!C26</f>
        <v>2</v>
      </c>
      <c r="C23" s="3" t="str">
        <f>CATA!D26</f>
        <v>381</v>
      </c>
      <c r="D23" s="3" t="str">
        <f>IF(C23=Setup!$B$5,Setup!$C$5,Setup!$C$6)</f>
        <v>Robusta Temanggung (dark roast)</v>
      </c>
      <c r="E23" s="3">
        <f>IF(COUNTA(CATA!E26:AF26)&gt;0,1,0)</f>
        <v>1</v>
      </c>
      <c r="F23" s="3">
        <f>IF(CATA!E26=1,1,0)</f>
        <v>0</v>
      </c>
      <c r="G23" s="3">
        <f>IF(CATA!F26=1,1,0)</f>
        <v>0</v>
      </c>
      <c r="H23" s="3">
        <f>IF(CATA!G26=1,1,0)</f>
        <v>0</v>
      </c>
      <c r="I23" s="3">
        <f>IF(CATA!H26=1,1,0)</f>
        <v>0</v>
      </c>
      <c r="J23" s="3">
        <f>IF(CATA!I26=1,1,0)</f>
        <v>0</v>
      </c>
      <c r="K23" s="3">
        <f>IF(CATA!J26=1,1,0)</f>
        <v>1</v>
      </c>
      <c r="L23" s="3">
        <f>IF(CATA!K26=1,1,0)</f>
        <v>1</v>
      </c>
      <c r="M23" s="3">
        <f>IF(CATA!L26=1,1,0)</f>
        <v>1</v>
      </c>
      <c r="N23" s="3">
        <f>IF(CATA!M26=1,1,0)</f>
        <v>0</v>
      </c>
      <c r="O23" s="3">
        <f>IF(CATA!N26=1,1,0)</f>
        <v>0</v>
      </c>
      <c r="P23" s="3">
        <f>IF(CATA!O26=1,1,0)</f>
        <v>0</v>
      </c>
      <c r="Q23" s="3">
        <f>IF(CATA!P26=1,1,0)</f>
        <v>1</v>
      </c>
      <c r="R23" s="3">
        <f>IF(CATA!Q26=1,1,0)</f>
        <v>0</v>
      </c>
      <c r="S23" s="3">
        <f>IF(CATA!R26=1,1,0)</f>
        <v>0</v>
      </c>
      <c r="T23" s="3">
        <f>IF(CATA!S26=1,1,0)</f>
        <v>1</v>
      </c>
      <c r="U23" s="3">
        <f>IF(CATA!T26=1,1,0)</f>
        <v>0</v>
      </c>
      <c r="V23" s="3">
        <f>IF(CATA!U26=1,1,0)</f>
        <v>1</v>
      </c>
      <c r="W23" s="3">
        <f>IF(CATA!V26=1,1,0)</f>
        <v>1</v>
      </c>
      <c r="X23" s="3">
        <f>IF(CATA!W26=1,1,0)</f>
        <v>0</v>
      </c>
      <c r="Y23" s="3">
        <f>IF(CATA!X26=1,1,0)</f>
        <v>0</v>
      </c>
      <c r="Z23" s="3">
        <f>IF(CATA!Y26=1,1,0)</f>
        <v>1</v>
      </c>
      <c r="AA23" s="3">
        <f>IF(CATA!Z26=1,1,0)</f>
        <v>1</v>
      </c>
      <c r="AB23" s="3">
        <f>IF(CATA!AA26=1,1,0)</f>
        <v>0</v>
      </c>
      <c r="AC23" s="3">
        <f>IF(CATA!AB26=1,1,0)</f>
        <v>1</v>
      </c>
      <c r="AD23" s="3">
        <f>IF(CATA!AC26=1,1,0)</f>
        <v>0</v>
      </c>
      <c r="AE23" s="3">
        <f>IF(CATA!AD26=1,1,0)</f>
        <v>0</v>
      </c>
      <c r="AF23" s="3">
        <f>IF(CATA!AE26=1,1,0)</f>
        <v>0</v>
      </c>
      <c r="AG23" s="3">
        <f>IF(CATA!AF26=1,1,0)</f>
        <v>0</v>
      </c>
    </row>
    <row r="24" spans="1:33" ht="15" customHeight="1" x14ac:dyDescent="0.2">
      <c r="A24" s="3" t="str">
        <f>CATA!A27</f>
        <v>P12</v>
      </c>
      <c r="B24" s="3">
        <f>CATA!C27</f>
        <v>1</v>
      </c>
      <c r="C24" s="3" t="str">
        <f>CATA!D27</f>
        <v>527</v>
      </c>
      <c r="D24" s="3" t="str">
        <f>IF(C24=Setup!$B$5,Setup!$C$5,Setup!$C$6)</f>
        <v>Ethiopia natural (light roast)</v>
      </c>
      <c r="E24" s="3">
        <f>IF(COUNTA(CATA!E27:AF27)&gt;0,1,0)</f>
        <v>1</v>
      </c>
      <c r="F24" s="3">
        <f>IF(CATA!E27=1,1,0)</f>
        <v>1</v>
      </c>
      <c r="G24" s="3">
        <f>IF(CATA!F27=1,1,0)</f>
        <v>1</v>
      </c>
      <c r="H24" s="3">
        <f>IF(CATA!G27=1,1,0)</f>
        <v>1</v>
      </c>
      <c r="I24" s="3">
        <f>IF(CATA!H27=1,1,0)</f>
        <v>0</v>
      </c>
      <c r="J24" s="3">
        <f>IF(CATA!I27=1,1,0)</f>
        <v>0</v>
      </c>
      <c r="K24" s="3">
        <f>IF(CATA!J27=1,1,0)</f>
        <v>0</v>
      </c>
      <c r="L24" s="3">
        <f>IF(CATA!K27=1,1,0)</f>
        <v>1</v>
      </c>
      <c r="M24" s="3">
        <f>IF(CATA!L27=1,1,0)</f>
        <v>0</v>
      </c>
      <c r="N24" s="3">
        <f>IF(CATA!M27=1,1,0)</f>
        <v>0</v>
      </c>
      <c r="O24" s="3">
        <f>IF(CATA!N27=1,1,0)</f>
        <v>0</v>
      </c>
      <c r="P24" s="3">
        <f>IF(CATA!O27=1,1,0)</f>
        <v>1</v>
      </c>
      <c r="Q24" s="3">
        <f>IF(CATA!P27=1,1,0)</f>
        <v>1</v>
      </c>
      <c r="R24" s="3">
        <f>IF(CATA!Q27=1,1,0)</f>
        <v>0</v>
      </c>
      <c r="S24" s="3">
        <f>IF(CATA!R27=1,1,0)</f>
        <v>0</v>
      </c>
      <c r="T24" s="3">
        <f>IF(CATA!S27=1,1,0)</f>
        <v>0</v>
      </c>
      <c r="U24" s="3">
        <f>IF(CATA!T27=1,1,0)</f>
        <v>0</v>
      </c>
      <c r="V24" s="3">
        <f>IF(CATA!U27=1,1,0)</f>
        <v>1</v>
      </c>
      <c r="W24" s="3">
        <f>IF(CATA!V27=1,1,0)</f>
        <v>0</v>
      </c>
      <c r="X24" s="3">
        <f>IF(CATA!W27=1,1,0)</f>
        <v>0</v>
      </c>
      <c r="Y24" s="3">
        <f>IF(CATA!X27=1,1,0)</f>
        <v>1</v>
      </c>
      <c r="Z24" s="3">
        <f>IF(CATA!Y27=1,1,0)</f>
        <v>0</v>
      </c>
      <c r="AA24" s="3">
        <f>IF(CATA!Z27=1,1,0)</f>
        <v>0</v>
      </c>
      <c r="AB24" s="3">
        <f>IF(CATA!AA27=1,1,0)</f>
        <v>0</v>
      </c>
      <c r="AC24" s="3">
        <f>IF(CATA!AB27=1,1,0)</f>
        <v>0</v>
      </c>
      <c r="AD24" s="3">
        <f>IF(CATA!AC27=1,1,0)</f>
        <v>0</v>
      </c>
      <c r="AE24" s="3">
        <f>IF(CATA!AD27=1,1,0)</f>
        <v>1</v>
      </c>
      <c r="AF24" s="3">
        <f>IF(CATA!AE27=1,1,0)</f>
        <v>1</v>
      </c>
      <c r="AG24" s="3">
        <f>IF(CATA!AF27=1,1,0)</f>
        <v>0</v>
      </c>
    </row>
    <row r="25" spans="1:33" ht="15" customHeight="1" x14ac:dyDescent="0.2">
      <c r="A25" s="3" t="str">
        <f>CATA!A28</f>
        <v>P12</v>
      </c>
      <c r="B25" s="3">
        <f>CATA!C28</f>
        <v>2</v>
      </c>
      <c r="C25" s="3" t="str">
        <f>CATA!D28</f>
        <v>381</v>
      </c>
      <c r="D25" s="3" t="str">
        <f>IF(C25=Setup!$B$5,Setup!$C$5,Setup!$C$6)</f>
        <v>Robusta Temanggung (dark roast)</v>
      </c>
      <c r="E25" s="3">
        <f>IF(COUNTA(CATA!E28:AF28)&gt;0,1,0)</f>
        <v>1</v>
      </c>
      <c r="F25" s="3">
        <f>IF(CATA!E28=1,1,0)</f>
        <v>0</v>
      </c>
      <c r="G25" s="3">
        <f>IF(CATA!F28=1,1,0)</f>
        <v>0</v>
      </c>
      <c r="H25" s="3">
        <f>IF(CATA!G28=1,1,0)</f>
        <v>0</v>
      </c>
      <c r="I25" s="3">
        <f>IF(CATA!H28=1,1,0)</f>
        <v>1</v>
      </c>
      <c r="J25" s="3">
        <f>IF(CATA!I28=1,1,0)</f>
        <v>0</v>
      </c>
      <c r="K25" s="3">
        <f>IF(CATA!J28=1,1,0)</f>
        <v>0</v>
      </c>
      <c r="L25" s="3">
        <f>IF(CATA!K28=1,1,0)</f>
        <v>1</v>
      </c>
      <c r="M25" s="3">
        <f>IF(CATA!L28=1,1,0)</f>
        <v>0</v>
      </c>
      <c r="N25" s="3">
        <f>IF(CATA!M28=1,1,0)</f>
        <v>0</v>
      </c>
      <c r="O25" s="3">
        <f>IF(CATA!N28=1,1,0)</f>
        <v>0</v>
      </c>
      <c r="P25" s="3">
        <f>IF(CATA!O28=1,1,0)</f>
        <v>0</v>
      </c>
      <c r="Q25" s="3">
        <f>IF(CATA!P28=1,1,0)</f>
        <v>0</v>
      </c>
      <c r="R25" s="3">
        <f>IF(CATA!Q28=1,1,0)</f>
        <v>0</v>
      </c>
      <c r="S25" s="3">
        <f>IF(CATA!R28=1,1,0)</f>
        <v>0</v>
      </c>
      <c r="T25" s="3">
        <f>IF(CATA!S28=1,1,0)</f>
        <v>1</v>
      </c>
      <c r="U25" s="3">
        <f>IF(CATA!T28=1,1,0)</f>
        <v>1</v>
      </c>
      <c r="V25" s="3">
        <f>IF(CATA!U28=1,1,0)</f>
        <v>0</v>
      </c>
      <c r="W25" s="3">
        <f>IF(CATA!V28=1,1,0)</f>
        <v>1</v>
      </c>
      <c r="X25" s="3">
        <f>IF(CATA!W28=1,1,0)</f>
        <v>0</v>
      </c>
      <c r="Y25" s="3">
        <f>IF(CATA!X28=1,1,0)</f>
        <v>1</v>
      </c>
      <c r="Z25" s="3">
        <f>IF(CATA!Y28=1,1,0)</f>
        <v>0</v>
      </c>
      <c r="AA25" s="3">
        <f>IF(CATA!Z28=1,1,0)</f>
        <v>1</v>
      </c>
      <c r="AB25" s="3">
        <f>IF(CATA!AA28=1,1,0)</f>
        <v>0</v>
      </c>
      <c r="AC25" s="3">
        <f>IF(CATA!AB28=1,1,0)</f>
        <v>0</v>
      </c>
      <c r="AD25" s="3">
        <f>IF(CATA!AC28=1,1,0)</f>
        <v>1</v>
      </c>
      <c r="AE25" s="3">
        <f>IF(CATA!AD28=1,1,0)</f>
        <v>0</v>
      </c>
      <c r="AF25" s="3">
        <f>IF(CATA!AE28=1,1,0)</f>
        <v>0</v>
      </c>
      <c r="AG25" s="3">
        <f>IF(CATA!AF28=1,1,0)</f>
        <v>0</v>
      </c>
    </row>
    <row r="26" spans="1:33" ht="15" customHeight="1" x14ac:dyDescent="0.2">
      <c r="A26" s="3" t="str">
        <f>CATA!A29</f>
        <v>P13</v>
      </c>
      <c r="B26" s="3">
        <f>CATA!C29</f>
        <v>1</v>
      </c>
      <c r="C26" s="3" t="str">
        <f>CATA!D29</f>
        <v>527</v>
      </c>
      <c r="D26" s="3" t="str">
        <f>IF(C26=Setup!$B$5,Setup!$C$5,Setup!$C$6)</f>
        <v>Ethiopia natural (light roast)</v>
      </c>
      <c r="E26" s="3">
        <f>IF(COUNTA(CATA!E29:AF29)&gt;0,1,0)</f>
        <v>1</v>
      </c>
      <c r="F26" s="3">
        <f>IF(CATA!E29=1,1,0)</f>
        <v>0</v>
      </c>
      <c r="G26" s="3">
        <f>IF(CATA!F29=1,1,0)</f>
        <v>1</v>
      </c>
      <c r="H26" s="3">
        <f>IF(CATA!G29=1,1,0)</f>
        <v>0</v>
      </c>
      <c r="I26" s="3">
        <f>IF(CATA!H29=1,1,0)</f>
        <v>1</v>
      </c>
      <c r="J26" s="3">
        <f>IF(CATA!I29=1,1,0)</f>
        <v>0</v>
      </c>
      <c r="K26" s="3">
        <f>IF(CATA!J29=1,1,0)</f>
        <v>0</v>
      </c>
      <c r="L26" s="3">
        <f>IF(CATA!K29=1,1,0)</f>
        <v>0</v>
      </c>
      <c r="M26" s="3">
        <f>IF(CATA!L29=1,1,0)</f>
        <v>0</v>
      </c>
      <c r="N26" s="3">
        <f>IF(CATA!M29=1,1,0)</f>
        <v>1</v>
      </c>
      <c r="O26" s="3">
        <f>IF(CATA!N29=1,1,0)</f>
        <v>1</v>
      </c>
      <c r="P26" s="3">
        <f>IF(CATA!O29=1,1,0)</f>
        <v>1</v>
      </c>
      <c r="Q26" s="3">
        <f>IF(CATA!P29=1,1,0)</f>
        <v>1</v>
      </c>
      <c r="R26" s="3">
        <f>IF(CATA!Q29=1,1,0)</f>
        <v>1</v>
      </c>
      <c r="S26" s="3">
        <f>IF(CATA!R29=1,1,0)</f>
        <v>0</v>
      </c>
      <c r="T26" s="3">
        <f>IF(CATA!S29=1,1,0)</f>
        <v>0</v>
      </c>
      <c r="U26" s="3">
        <f>IF(CATA!T29=1,1,0)</f>
        <v>0</v>
      </c>
      <c r="V26" s="3">
        <f>IF(CATA!U29=1,1,0)</f>
        <v>0</v>
      </c>
      <c r="W26" s="3">
        <f>IF(CATA!V29=1,1,0)</f>
        <v>0</v>
      </c>
      <c r="X26" s="3">
        <f>IF(CATA!W29=1,1,0)</f>
        <v>0</v>
      </c>
      <c r="Y26" s="3">
        <f>IF(CATA!X29=1,1,0)</f>
        <v>1</v>
      </c>
      <c r="Z26" s="3">
        <f>IF(CATA!Y29=1,1,0)</f>
        <v>1</v>
      </c>
      <c r="AA26" s="3">
        <f>IF(CATA!Z29=1,1,0)</f>
        <v>0</v>
      </c>
      <c r="AB26" s="3">
        <f>IF(CATA!AA29=1,1,0)</f>
        <v>0</v>
      </c>
      <c r="AC26" s="3">
        <f>IF(CATA!AB29=1,1,0)</f>
        <v>0</v>
      </c>
      <c r="AD26" s="3">
        <f>IF(CATA!AC29=1,1,0)</f>
        <v>0</v>
      </c>
      <c r="AE26" s="3">
        <f>IF(CATA!AD29=1,1,0)</f>
        <v>1</v>
      </c>
      <c r="AF26" s="3">
        <f>IF(CATA!AE29=1,1,0)</f>
        <v>0</v>
      </c>
      <c r="AG26" s="3">
        <f>IF(CATA!AF29=1,1,0)</f>
        <v>1</v>
      </c>
    </row>
    <row r="27" spans="1:33" ht="15" customHeight="1" x14ac:dyDescent="0.2">
      <c r="A27" s="3" t="str">
        <f>CATA!A30</f>
        <v>P13</v>
      </c>
      <c r="B27" s="3">
        <f>CATA!C30</f>
        <v>2</v>
      </c>
      <c r="C27" s="3" t="str">
        <f>CATA!D30</f>
        <v>381</v>
      </c>
      <c r="D27" s="3" t="str">
        <f>IF(C27=Setup!$B$5,Setup!$C$5,Setup!$C$6)</f>
        <v>Robusta Temanggung (dark roast)</v>
      </c>
      <c r="E27" s="3">
        <f>IF(COUNTA(CATA!E30:AF30)&gt;0,1,0)</f>
        <v>1</v>
      </c>
      <c r="F27" s="3">
        <f>IF(CATA!E30=1,1,0)</f>
        <v>0</v>
      </c>
      <c r="G27" s="3">
        <f>IF(CATA!F30=1,1,0)</f>
        <v>0</v>
      </c>
      <c r="H27" s="3">
        <f>IF(CATA!G30=1,1,0)</f>
        <v>0</v>
      </c>
      <c r="I27" s="3">
        <f>IF(CATA!H30=1,1,0)</f>
        <v>0</v>
      </c>
      <c r="J27" s="3">
        <f>IF(CATA!I30=1,1,0)</f>
        <v>0</v>
      </c>
      <c r="K27" s="3">
        <f>IF(CATA!J30=1,1,0)</f>
        <v>1</v>
      </c>
      <c r="L27" s="3">
        <f>IF(CATA!K30=1,1,0)</f>
        <v>1</v>
      </c>
      <c r="M27" s="3">
        <f>IF(CATA!L30=1,1,0)</f>
        <v>1</v>
      </c>
      <c r="N27" s="3">
        <f>IF(CATA!M30=1,1,0)</f>
        <v>0</v>
      </c>
      <c r="O27" s="3">
        <f>IF(CATA!N30=1,1,0)</f>
        <v>0</v>
      </c>
      <c r="P27" s="3">
        <f>IF(CATA!O30=1,1,0)</f>
        <v>1</v>
      </c>
      <c r="Q27" s="3">
        <f>IF(CATA!P30=1,1,0)</f>
        <v>0</v>
      </c>
      <c r="R27" s="3">
        <f>IF(CATA!Q30=1,1,0)</f>
        <v>0</v>
      </c>
      <c r="S27" s="3">
        <f>IF(CATA!R30=1,1,0)</f>
        <v>0</v>
      </c>
      <c r="T27" s="3">
        <f>IF(CATA!S30=1,1,0)</f>
        <v>1</v>
      </c>
      <c r="U27" s="3">
        <f>IF(CATA!T30=1,1,0)</f>
        <v>1</v>
      </c>
      <c r="V27" s="3">
        <f>IF(CATA!U30=1,1,0)</f>
        <v>1</v>
      </c>
      <c r="W27" s="3">
        <f>IF(CATA!V30=1,1,0)</f>
        <v>0</v>
      </c>
      <c r="X27" s="3">
        <f>IF(CATA!W30=1,1,0)</f>
        <v>0</v>
      </c>
      <c r="Y27" s="3">
        <f>IF(CATA!X30=1,1,0)</f>
        <v>0</v>
      </c>
      <c r="Z27" s="3">
        <f>IF(CATA!Y30=1,1,0)</f>
        <v>0</v>
      </c>
      <c r="AA27" s="3">
        <f>IF(CATA!Z30=1,1,0)</f>
        <v>1</v>
      </c>
      <c r="AB27" s="3">
        <f>IF(CATA!AA30=1,1,0)</f>
        <v>0</v>
      </c>
      <c r="AC27" s="3">
        <f>IF(CATA!AB30=1,1,0)</f>
        <v>0</v>
      </c>
      <c r="AD27" s="3">
        <f>IF(CATA!AC30=1,1,0)</f>
        <v>0</v>
      </c>
      <c r="AE27" s="3">
        <f>IF(CATA!AD30=1,1,0)</f>
        <v>0</v>
      </c>
      <c r="AF27" s="3">
        <f>IF(CATA!AE30=1,1,0)</f>
        <v>1</v>
      </c>
      <c r="AG27" s="3">
        <f>IF(CATA!AF30=1,1,0)</f>
        <v>0</v>
      </c>
    </row>
    <row r="28" spans="1:33" ht="15" customHeight="1" x14ac:dyDescent="0.2">
      <c r="A28" s="3" t="str">
        <f>CATA!A31</f>
        <v>P14</v>
      </c>
      <c r="B28" s="3">
        <f>CATA!C31</f>
        <v>1</v>
      </c>
      <c r="C28" s="3" t="str">
        <f>CATA!D31</f>
        <v>527</v>
      </c>
      <c r="D28" s="3" t="str">
        <f>IF(C28=Setup!$B$5,Setup!$C$5,Setup!$C$6)</f>
        <v>Ethiopia natural (light roast)</v>
      </c>
      <c r="E28" s="3">
        <f>IF(COUNTA(CATA!E31:AF31)&gt;0,1,0)</f>
        <v>1</v>
      </c>
      <c r="F28" s="3">
        <f>IF(CATA!E31=1,1,0)</f>
        <v>0</v>
      </c>
      <c r="G28" s="3">
        <f>IF(CATA!F31=1,1,0)</f>
        <v>1</v>
      </c>
      <c r="H28" s="3">
        <f>IF(CATA!G31=1,1,0)</f>
        <v>0</v>
      </c>
      <c r="I28" s="3">
        <f>IF(CATA!H31=1,1,0)</f>
        <v>0</v>
      </c>
      <c r="J28" s="3">
        <f>IF(CATA!I31=1,1,0)</f>
        <v>0</v>
      </c>
      <c r="K28" s="3">
        <f>IF(CATA!J31=1,1,0)</f>
        <v>0</v>
      </c>
      <c r="L28" s="3">
        <f>IF(CATA!K31=1,1,0)</f>
        <v>0</v>
      </c>
      <c r="M28" s="3">
        <f>IF(CATA!L31=1,1,0)</f>
        <v>0</v>
      </c>
      <c r="N28" s="3">
        <f>IF(CATA!M31=1,1,0)</f>
        <v>1</v>
      </c>
      <c r="O28" s="3">
        <f>IF(CATA!N31=1,1,0)</f>
        <v>0</v>
      </c>
      <c r="P28" s="3">
        <f>IF(CATA!O31=1,1,0)</f>
        <v>1</v>
      </c>
      <c r="Q28" s="3">
        <f>IF(CATA!P31=1,1,0)</f>
        <v>1</v>
      </c>
      <c r="R28" s="3">
        <f>IF(CATA!Q31=1,1,0)</f>
        <v>0</v>
      </c>
      <c r="S28" s="3">
        <f>IF(CATA!R31=1,1,0)</f>
        <v>0</v>
      </c>
      <c r="T28" s="3">
        <f>IF(CATA!S31=1,1,0)</f>
        <v>0</v>
      </c>
      <c r="U28" s="3">
        <f>IF(CATA!T31=1,1,0)</f>
        <v>0</v>
      </c>
      <c r="V28" s="3">
        <f>IF(CATA!U31=1,1,0)</f>
        <v>0</v>
      </c>
      <c r="W28" s="3">
        <f>IF(CATA!V31=1,1,0)</f>
        <v>1</v>
      </c>
      <c r="X28" s="3">
        <f>IF(CATA!W31=1,1,0)</f>
        <v>0</v>
      </c>
      <c r="Y28" s="3">
        <f>IF(CATA!X31=1,1,0)</f>
        <v>1</v>
      </c>
      <c r="Z28" s="3">
        <f>IF(CATA!Y31=1,1,0)</f>
        <v>0</v>
      </c>
      <c r="AA28" s="3">
        <f>IF(CATA!Z31=1,1,0)</f>
        <v>0</v>
      </c>
      <c r="AB28" s="3">
        <f>IF(CATA!AA31=1,1,0)</f>
        <v>0</v>
      </c>
      <c r="AC28" s="3">
        <f>IF(CATA!AB31=1,1,0)</f>
        <v>0</v>
      </c>
      <c r="AD28" s="3">
        <f>IF(CATA!AC31=1,1,0)</f>
        <v>0</v>
      </c>
      <c r="AE28" s="3">
        <f>IF(CATA!AD31=1,1,0)</f>
        <v>1</v>
      </c>
      <c r="AF28" s="3">
        <f>IF(CATA!AE31=1,1,0)</f>
        <v>0</v>
      </c>
      <c r="AG28" s="3">
        <f>IF(CATA!AF31=1,1,0)</f>
        <v>0</v>
      </c>
    </row>
    <row r="29" spans="1:33" ht="15" customHeight="1" x14ac:dyDescent="0.2">
      <c r="A29" s="3" t="str">
        <f>CATA!A32</f>
        <v>P14</v>
      </c>
      <c r="B29" s="3">
        <f>CATA!C32</f>
        <v>2</v>
      </c>
      <c r="C29" s="3" t="str">
        <f>CATA!D32</f>
        <v>381</v>
      </c>
      <c r="D29" s="3" t="str">
        <f>IF(C29=Setup!$B$5,Setup!$C$5,Setup!$C$6)</f>
        <v>Robusta Temanggung (dark roast)</v>
      </c>
      <c r="E29" s="3">
        <f>IF(COUNTA(CATA!E32:AF32)&gt;0,1,0)</f>
        <v>1</v>
      </c>
      <c r="F29" s="3">
        <f>IF(CATA!E32=1,1,0)</f>
        <v>0</v>
      </c>
      <c r="G29" s="3">
        <f>IF(CATA!F32=1,1,0)</f>
        <v>0</v>
      </c>
      <c r="H29" s="3">
        <f>IF(CATA!G32=1,1,0)</f>
        <v>0</v>
      </c>
      <c r="I29" s="3">
        <f>IF(CATA!H32=1,1,0)</f>
        <v>1</v>
      </c>
      <c r="J29" s="3">
        <f>IF(CATA!I32=1,1,0)</f>
        <v>0</v>
      </c>
      <c r="K29" s="3">
        <f>IF(CATA!J32=1,1,0)</f>
        <v>1</v>
      </c>
      <c r="L29" s="3">
        <f>IF(CATA!K32=1,1,0)</f>
        <v>0</v>
      </c>
      <c r="M29" s="3">
        <f>IF(CATA!L32=1,1,0)</f>
        <v>1</v>
      </c>
      <c r="N29" s="3">
        <f>IF(CATA!M32=1,1,0)</f>
        <v>0</v>
      </c>
      <c r="O29" s="3">
        <f>IF(CATA!N32=1,1,0)</f>
        <v>0</v>
      </c>
      <c r="P29" s="3">
        <f>IF(CATA!O32=1,1,0)</f>
        <v>0</v>
      </c>
      <c r="Q29" s="3">
        <f>IF(CATA!P32=1,1,0)</f>
        <v>0</v>
      </c>
      <c r="R29" s="3">
        <f>IF(CATA!Q32=1,1,0)</f>
        <v>0</v>
      </c>
      <c r="S29" s="3">
        <f>IF(CATA!R32=1,1,0)</f>
        <v>1</v>
      </c>
      <c r="T29" s="3">
        <f>IF(CATA!S32=1,1,0)</f>
        <v>1</v>
      </c>
      <c r="U29" s="3">
        <f>IF(CATA!T32=1,1,0)</f>
        <v>1</v>
      </c>
      <c r="V29" s="3">
        <f>IF(CATA!U32=1,1,0)</f>
        <v>0</v>
      </c>
      <c r="W29" s="3">
        <f>IF(CATA!V32=1,1,0)</f>
        <v>0</v>
      </c>
      <c r="X29" s="3">
        <f>IF(CATA!W32=1,1,0)</f>
        <v>0</v>
      </c>
      <c r="Y29" s="3">
        <f>IF(CATA!X32=1,1,0)</f>
        <v>0</v>
      </c>
      <c r="Z29" s="3">
        <f>IF(CATA!Y32=1,1,0)</f>
        <v>0</v>
      </c>
      <c r="AA29" s="3">
        <f>IF(CATA!Z32=1,1,0)</f>
        <v>0</v>
      </c>
      <c r="AB29" s="3">
        <f>IF(CATA!AA32=1,1,0)</f>
        <v>1</v>
      </c>
      <c r="AC29" s="3">
        <f>IF(CATA!AB32=1,1,0)</f>
        <v>1</v>
      </c>
      <c r="AD29" s="3">
        <f>IF(CATA!AC32=1,1,0)</f>
        <v>1</v>
      </c>
      <c r="AE29" s="3">
        <f>IF(CATA!AD32=1,1,0)</f>
        <v>0</v>
      </c>
      <c r="AF29" s="3">
        <f>IF(CATA!AE32=1,1,0)</f>
        <v>0</v>
      </c>
      <c r="AG29" s="3">
        <f>IF(CATA!AF32=1,1,0)</f>
        <v>0</v>
      </c>
    </row>
    <row r="30" spans="1:33" ht="15" customHeight="1" x14ac:dyDescent="0.2">
      <c r="A30" s="3" t="str">
        <f>CATA!A33</f>
        <v>P15</v>
      </c>
      <c r="B30" s="3">
        <f>CATA!C33</f>
        <v>1</v>
      </c>
      <c r="C30" s="3" t="str">
        <f>CATA!D33</f>
        <v>527</v>
      </c>
      <c r="D30" s="3" t="str">
        <f>IF(C30=Setup!$B$5,Setup!$C$5,Setup!$C$6)</f>
        <v>Ethiopia natural (light roast)</v>
      </c>
      <c r="E30" s="3">
        <f>IF(COUNTA(CATA!E33:AF33)&gt;0,1,0)</f>
        <v>1</v>
      </c>
      <c r="F30" s="3">
        <f>IF(CATA!E33=1,1,0)</f>
        <v>0</v>
      </c>
      <c r="G30" s="3">
        <f>IF(CATA!F33=1,1,0)</f>
        <v>1</v>
      </c>
      <c r="H30" s="3">
        <f>IF(CATA!G33=1,1,0)</f>
        <v>1</v>
      </c>
      <c r="I30" s="3">
        <f>IF(CATA!H33=1,1,0)</f>
        <v>0</v>
      </c>
      <c r="J30" s="3">
        <f>IF(CATA!I33=1,1,0)</f>
        <v>0</v>
      </c>
      <c r="K30" s="3">
        <f>IF(CATA!J33=1,1,0)</f>
        <v>0</v>
      </c>
      <c r="L30" s="3">
        <f>IF(CATA!K33=1,1,0)</f>
        <v>0</v>
      </c>
      <c r="M30" s="3">
        <f>IF(CATA!L33=1,1,0)</f>
        <v>0</v>
      </c>
      <c r="N30" s="3">
        <f>IF(CATA!M33=1,1,0)</f>
        <v>0</v>
      </c>
      <c r="O30" s="3">
        <f>IF(CATA!N33=1,1,0)</f>
        <v>0</v>
      </c>
      <c r="P30" s="3">
        <f>IF(CATA!O33=1,1,0)</f>
        <v>1</v>
      </c>
      <c r="Q30" s="3">
        <f>IF(CATA!P33=1,1,0)</f>
        <v>0</v>
      </c>
      <c r="R30" s="3">
        <f>IF(CATA!Q33=1,1,0)</f>
        <v>0</v>
      </c>
      <c r="S30" s="3">
        <f>IF(CATA!R33=1,1,0)</f>
        <v>0</v>
      </c>
      <c r="T30" s="3">
        <f>IF(CATA!S33=1,1,0)</f>
        <v>0</v>
      </c>
      <c r="U30" s="3">
        <f>IF(CATA!T33=1,1,0)</f>
        <v>1</v>
      </c>
      <c r="V30" s="3">
        <f>IF(CATA!U33=1,1,0)</f>
        <v>0</v>
      </c>
      <c r="W30" s="3">
        <f>IF(CATA!V33=1,1,0)</f>
        <v>0</v>
      </c>
      <c r="X30" s="3">
        <f>IF(CATA!W33=1,1,0)</f>
        <v>0</v>
      </c>
      <c r="Y30" s="3">
        <f>IF(CATA!X33=1,1,0)</f>
        <v>1</v>
      </c>
      <c r="Z30" s="3">
        <f>IF(CATA!Y33=1,1,0)</f>
        <v>0</v>
      </c>
      <c r="AA30" s="3">
        <f>IF(CATA!Z33=1,1,0)</f>
        <v>0</v>
      </c>
      <c r="AB30" s="3">
        <f>IF(CATA!AA33=1,1,0)</f>
        <v>0</v>
      </c>
      <c r="AC30" s="3">
        <f>IF(CATA!AB33=1,1,0)</f>
        <v>0</v>
      </c>
      <c r="AD30" s="3">
        <f>IF(CATA!AC33=1,1,0)</f>
        <v>0</v>
      </c>
      <c r="AE30" s="3">
        <f>IF(CATA!AD33=1,1,0)</f>
        <v>1</v>
      </c>
      <c r="AF30" s="3">
        <f>IF(CATA!AE33=1,1,0)</f>
        <v>0</v>
      </c>
      <c r="AG30" s="3">
        <f>IF(CATA!AF33=1,1,0)</f>
        <v>0</v>
      </c>
    </row>
    <row r="31" spans="1:33" ht="15" customHeight="1" x14ac:dyDescent="0.2">
      <c r="A31" s="3" t="str">
        <f>CATA!A34</f>
        <v>P15</v>
      </c>
      <c r="B31" s="3">
        <f>CATA!C34</f>
        <v>2</v>
      </c>
      <c r="C31" s="3" t="str">
        <f>CATA!D34</f>
        <v>381</v>
      </c>
      <c r="D31" s="3" t="str">
        <f>IF(C31=Setup!$B$5,Setup!$C$5,Setup!$C$6)</f>
        <v>Robusta Temanggung (dark roast)</v>
      </c>
      <c r="E31" s="3">
        <f>IF(COUNTA(CATA!E34:AF34)&gt;0,1,0)</f>
        <v>1</v>
      </c>
      <c r="F31" s="3">
        <f>IF(CATA!E34=1,1,0)</f>
        <v>0</v>
      </c>
      <c r="G31" s="3">
        <f>IF(CATA!F34=1,1,0)</f>
        <v>0</v>
      </c>
      <c r="H31" s="3">
        <f>IF(CATA!G34=1,1,0)</f>
        <v>0</v>
      </c>
      <c r="I31" s="3">
        <f>IF(CATA!H34=1,1,0)</f>
        <v>0</v>
      </c>
      <c r="J31" s="3">
        <f>IF(CATA!I34=1,1,0)</f>
        <v>0</v>
      </c>
      <c r="K31" s="3">
        <f>IF(CATA!J34=1,1,0)</f>
        <v>1</v>
      </c>
      <c r="L31" s="3">
        <f>IF(CATA!K34=1,1,0)</f>
        <v>1</v>
      </c>
      <c r="M31" s="3">
        <f>IF(CATA!L34=1,1,0)</f>
        <v>0</v>
      </c>
      <c r="N31" s="3">
        <f>IF(CATA!M34=1,1,0)</f>
        <v>0</v>
      </c>
      <c r="O31" s="3">
        <f>IF(CATA!N34=1,1,0)</f>
        <v>1</v>
      </c>
      <c r="P31" s="3">
        <f>IF(CATA!O34=1,1,0)</f>
        <v>0</v>
      </c>
      <c r="Q31" s="3">
        <f>IF(CATA!P34=1,1,0)</f>
        <v>0</v>
      </c>
      <c r="R31" s="3">
        <f>IF(CATA!Q34=1,1,0)</f>
        <v>0</v>
      </c>
      <c r="S31" s="3">
        <f>IF(CATA!R34=1,1,0)</f>
        <v>0</v>
      </c>
      <c r="T31" s="3">
        <f>IF(CATA!S34=1,1,0)</f>
        <v>1</v>
      </c>
      <c r="U31" s="3">
        <f>IF(CATA!T34=1,1,0)</f>
        <v>1</v>
      </c>
      <c r="V31" s="3">
        <f>IF(CATA!U34=1,1,0)</f>
        <v>0</v>
      </c>
      <c r="W31" s="3">
        <f>IF(CATA!V34=1,1,0)</f>
        <v>0</v>
      </c>
      <c r="X31" s="3">
        <f>IF(CATA!W34=1,1,0)</f>
        <v>0</v>
      </c>
      <c r="Y31" s="3">
        <f>IF(CATA!X34=1,1,0)</f>
        <v>0</v>
      </c>
      <c r="Z31" s="3">
        <f>IF(CATA!Y34=1,1,0)</f>
        <v>0</v>
      </c>
      <c r="AA31" s="3">
        <f>IF(CATA!Z34=1,1,0)</f>
        <v>1</v>
      </c>
      <c r="AB31" s="3">
        <f>IF(CATA!AA34=1,1,0)</f>
        <v>0</v>
      </c>
      <c r="AC31" s="3">
        <f>IF(CATA!AB34=1,1,0)</f>
        <v>0</v>
      </c>
      <c r="AD31" s="3">
        <f>IF(CATA!AC34=1,1,0)</f>
        <v>1</v>
      </c>
      <c r="AE31" s="3">
        <f>IF(CATA!AD34=1,1,0)</f>
        <v>0</v>
      </c>
      <c r="AF31" s="3">
        <f>IF(CATA!AE34=1,1,0)</f>
        <v>1</v>
      </c>
      <c r="AG31" s="3">
        <f>IF(CATA!AF34=1,1,0)</f>
        <v>0</v>
      </c>
    </row>
    <row r="32" spans="1:33" ht="15" customHeight="1" x14ac:dyDescent="0.2">
      <c r="A32" s="3" t="str">
        <f>CATA!A35</f>
        <v>P16</v>
      </c>
      <c r="B32" s="3">
        <f>CATA!C35</f>
        <v>1</v>
      </c>
      <c r="C32" s="3" t="str">
        <f>CATA!D35</f>
        <v>527</v>
      </c>
      <c r="D32" s="3" t="str">
        <f>IF(C32=Setup!$B$5,Setup!$C$5,Setup!$C$6)</f>
        <v>Ethiopia natural (light roast)</v>
      </c>
      <c r="E32" s="3">
        <f>IF(COUNTA(CATA!E35:AF35)&gt;0,1,0)</f>
        <v>1</v>
      </c>
      <c r="F32" s="3">
        <f>IF(CATA!E35=1,1,0)</f>
        <v>0</v>
      </c>
      <c r="G32" s="3">
        <f>IF(CATA!F35=1,1,0)</f>
        <v>1</v>
      </c>
      <c r="H32" s="3">
        <f>IF(CATA!G35=1,1,0)</f>
        <v>1</v>
      </c>
      <c r="I32" s="3">
        <f>IF(CATA!H35=1,1,0)</f>
        <v>1</v>
      </c>
      <c r="J32" s="3">
        <f>IF(CATA!I35=1,1,0)</f>
        <v>0</v>
      </c>
      <c r="K32" s="3">
        <f>IF(CATA!J35=1,1,0)</f>
        <v>0</v>
      </c>
      <c r="L32" s="3">
        <f>IF(CATA!K35=1,1,0)</f>
        <v>0</v>
      </c>
      <c r="M32" s="3">
        <f>IF(CATA!L35=1,1,0)</f>
        <v>0</v>
      </c>
      <c r="N32" s="3">
        <f>IF(CATA!M35=1,1,0)</f>
        <v>1</v>
      </c>
      <c r="O32" s="3">
        <f>IF(CATA!N35=1,1,0)</f>
        <v>1</v>
      </c>
      <c r="P32" s="3">
        <f>IF(CATA!O35=1,1,0)</f>
        <v>1</v>
      </c>
      <c r="Q32" s="3">
        <f>IF(CATA!P35=1,1,0)</f>
        <v>1</v>
      </c>
      <c r="R32" s="3">
        <f>IF(CATA!Q35=1,1,0)</f>
        <v>0</v>
      </c>
      <c r="S32" s="3">
        <f>IF(CATA!R35=1,1,0)</f>
        <v>0</v>
      </c>
      <c r="T32" s="3">
        <f>IF(CATA!S35=1,1,0)</f>
        <v>0</v>
      </c>
      <c r="U32" s="3">
        <f>IF(CATA!T35=1,1,0)</f>
        <v>1</v>
      </c>
      <c r="V32" s="3">
        <f>IF(CATA!U35=1,1,0)</f>
        <v>0</v>
      </c>
      <c r="W32" s="3">
        <f>IF(CATA!V35=1,1,0)</f>
        <v>0</v>
      </c>
      <c r="X32" s="3">
        <f>IF(CATA!W35=1,1,0)</f>
        <v>0</v>
      </c>
      <c r="Y32" s="3">
        <f>IF(CATA!X35=1,1,0)</f>
        <v>1</v>
      </c>
      <c r="Z32" s="3">
        <f>IF(CATA!Y35=1,1,0)</f>
        <v>0</v>
      </c>
      <c r="AA32" s="3">
        <f>IF(CATA!Z35=1,1,0)</f>
        <v>0</v>
      </c>
      <c r="AB32" s="3">
        <f>IF(CATA!AA35=1,1,0)</f>
        <v>0</v>
      </c>
      <c r="AC32" s="3">
        <f>IF(CATA!AB35=1,1,0)</f>
        <v>0</v>
      </c>
      <c r="AD32" s="3">
        <f>IF(CATA!AC35=1,1,0)</f>
        <v>0</v>
      </c>
      <c r="AE32" s="3">
        <f>IF(CATA!AD35=1,1,0)</f>
        <v>1</v>
      </c>
      <c r="AF32" s="3">
        <f>IF(CATA!AE35=1,1,0)</f>
        <v>1</v>
      </c>
      <c r="AG32" s="3">
        <f>IF(CATA!AF35=1,1,0)</f>
        <v>0</v>
      </c>
    </row>
    <row r="33" spans="1:33" ht="15" customHeight="1" x14ac:dyDescent="0.2">
      <c r="A33" s="3" t="str">
        <f>CATA!A36</f>
        <v>P16</v>
      </c>
      <c r="B33" s="3">
        <f>CATA!C36</f>
        <v>2</v>
      </c>
      <c r="C33" s="3" t="str">
        <f>CATA!D36</f>
        <v>381</v>
      </c>
      <c r="D33" s="3" t="str">
        <f>IF(C33=Setup!$B$5,Setup!$C$5,Setup!$C$6)</f>
        <v>Robusta Temanggung (dark roast)</v>
      </c>
      <c r="E33" s="3">
        <f>IF(COUNTA(CATA!E36:AF36)&gt;0,1,0)</f>
        <v>1</v>
      </c>
      <c r="F33" s="3">
        <f>IF(CATA!E36=1,1,0)</f>
        <v>0</v>
      </c>
      <c r="G33" s="3">
        <f>IF(CATA!F36=1,1,0)</f>
        <v>0</v>
      </c>
      <c r="H33" s="3">
        <f>IF(CATA!G36=1,1,0)</f>
        <v>0</v>
      </c>
      <c r="I33" s="3">
        <f>IF(CATA!H36=1,1,0)</f>
        <v>0</v>
      </c>
      <c r="J33" s="3">
        <f>IF(CATA!I36=1,1,0)</f>
        <v>0</v>
      </c>
      <c r="K33" s="3">
        <f>IF(CATA!J36=1,1,0)</f>
        <v>1</v>
      </c>
      <c r="L33" s="3">
        <f>IF(CATA!K36=1,1,0)</f>
        <v>0</v>
      </c>
      <c r="M33" s="3">
        <f>IF(CATA!L36=1,1,0)</f>
        <v>0</v>
      </c>
      <c r="N33" s="3">
        <f>IF(CATA!M36=1,1,0)</f>
        <v>0</v>
      </c>
      <c r="O33" s="3">
        <f>IF(CATA!N36=1,1,0)</f>
        <v>0</v>
      </c>
      <c r="P33" s="3">
        <f>IF(CATA!O36=1,1,0)</f>
        <v>0</v>
      </c>
      <c r="Q33" s="3">
        <f>IF(CATA!P36=1,1,0)</f>
        <v>0</v>
      </c>
      <c r="R33" s="3">
        <f>IF(CATA!Q36=1,1,0)</f>
        <v>0</v>
      </c>
      <c r="S33" s="3">
        <f>IF(CATA!R36=1,1,0)</f>
        <v>0</v>
      </c>
      <c r="T33" s="3">
        <f>IF(CATA!S36=1,1,0)</f>
        <v>1</v>
      </c>
      <c r="U33" s="3">
        <f>IF(CATA!T36=1,1,0)</f>
        <v>0</v>
      </c>
      <c r="V33" s="3">
        <f>IF(CATA!U36=1,1,0)</f>
        <v>0</v>
      </c>
      <c r="W33" s="3">
        <f>IF(CATA!V36=1,1,0)</f>
        <v>0</v>
      </c>
      <c r="X33" s="3">
        <f>IF(CATA!W36=1,1,0)</f>
        <v>0</v>
      </c>
      <c r="Y33" s="3">
        <f>IF(CATA!X36=1,1,0)</f>
        <v>0</v>
      </c>
      <c r="Z33" s="3">
        <f>IF(CATA!Y36=1,1,0)</f>
        <v>1</v>
      </c>
      <c r="AA33" s="3">
        <f>IF(CATA!Z36=1,1,0)</f>
        <v>1</v>
      </c>
      <c r="AB33" s="3">
        <f>IF(CATA!AA36=1,1,0)</f>
        <v>0</v>
      </c>
      <c r="AC33" s="3">
        <f>IF(CATA!AB36=1,1,0)</f>
        <v>0</v>
      </c>
      <c r="AD33" s="3">
        <f>IF(CATA!AC36=1,1,0)</f>
        <v>0</v>
      </c>
      <c r="AE33" s="3">
        <f>IF(CATA!AD36=1,1,0)</f>
        <v>0</v>
      </c>
      <c r="AF33" s="3">
        <f>IF(CATA!AE36=1,1,0)</f>
        <v>1</v>
      </c>
      <c r="AG33" s="3">
        <f>IF(CATA!AF36=1,1,0)</f>
        <v>0</v>
      </c>
    </row>
    <row r="34" spans="1:33" ht="15" customHeight="1" x14ac:dyDescent="0.2">
      <c r="A34" s="3" t="str">
        <f>CATA!A37</f>
        <v>P17</v>
      </c>
      <c r="B34" s="3">
        <f>CATA!C37</f>
        <v>1</v>
      </c>
      <c r="C34" s="3" t="str">
        <f>CATA!D37</f>
        <v>527</v>
      </c>
      <c r="D34" s="3" t="str">
        <f>IF(C34=Setup!$B$5,Setup!$C$5,Setup!$C$6)</f>
        <v>Ethiopia natural (light roast)</v>
      </c>
      <c r="E34" s="3">
        <f>IF(COUNTA(CATA!E37:AF37)&gt;0,1,0)</f>
        <v>1</v>
      </c>
      <c r="F34" s="3">
        <f>IF(CATA!E37=1,1,0)</f>
        <v>0</v>
      </c>
      <c r="G34" s="3">
        <f>IF(CATA!F37=1,1,0)</f>
        <v>1</v>
      </c>
      <c r="H34" s="3">
        <f>IF(CATA!G37=1,1,0)</f>
        <v>0</v>
      </c>
      <c r="I34" s="3">
        <f>IF(CATA!H37=1,1,0)</f>
        <v>0</v>
      </c>
      <c r="J34" s="3">
        <f>IF(CATA!I37=1,1,0)</f>
        <v>1</v>
      </c>
      <c r="K34" s="3">
        <f>IF(CATA!J37=1,1,0)</f>
        <v>0</v>
      </c>
      <c r="L34" s="3">
        <f>IF(CATA!K37=1,1,0)</f>
        <v>0</v>
      </c>
      <c r="M34" s="3">
        <f>IF(CATA!L37=1,1,0)</f>
        <v>0</v>
      </c>
      <c r="N34" s="3">
        <f>IF(CATA!M37=1,1,0)</f>
        <v>1</v>
      </c>
      <c r="O34" s="3">
        <f>IF(CATA!N37=1,1,0)</f>
        <v>0</v>
      </c>
      <c r="P34" s="3">
        <f>IF(CATA!O37=1,1,0)</f>
        <v>1</v>
      </c>
      <c r="Q34" s="3">
        <f>IF(CATA!P37=1,1,0)</f>
        <v>0</v>
      </c>
      <c r="R34" s="3">
        <f>IF(CATA!Q37=1,1,0)</f>
        <v>0</v>
      </c>
      <c r="S34" s="3">
        <f>IF(CATA!R37=1,1,0)</f>
        <v>1</v>
      </c>
      <c r="T34" s="3">
        <f>IF(CATA!S37=1,1,0)</f>
        <v>0</v>
      </c>
      <c r="U34" s="3">
        <f>IF(CATA!T37=1,1,0)</f>
        <v>0</v>
      </c>
      <c r="V34" s="3">
        <f>IF(CATA!U37=1,1,0)</f>
        <v>0</v>
      </c>
      <c r="W34" s="3">
        <f>IF(CATA!V37=1,1,0)</f>
        <v>0</v>
      </c>
      <c r="X34" s="3">
        <f>IF(CATA!W37=1,1,0)</f>
        <v>0</v>
      </c>
      <c r="Y34" s="3">
        <f>IF(CATA!X37=1,1,0)</f>
        <v>1</v>
      </c>
      <c r="Z34" s="3">
        <f>IF(CATA!Y37=1,1,0)</f>
        <v>1</v>
      </c>
      <c r="AA34" s="3">
        <f>IF(CATA!Z37=1,1,0)</f>
        <v>0</v>
      </c>
      <c r="AB34" s="3">
        <f>IF(CATA!AA37=1,1,0)</f>
        <v>0</v>
      </c>
      <c r="AC34" s="3">
        <f>IF(CATA!AB37=1,1,0)</f>
        <v>0</v>
      </c>
      <c r="AD34" s="3">
        <f>IF(CATA!AC37=1,1,0)</f>
        <v>0</v>
      </c>
      <c r="AE34" s="3">
        <f>IF(CATA!AD37=1,1,0)</f>
        <v>1</v>
      </c>
      <c r="AF34" s="3">
        <f>IF(CATA!AE37=1,1,0)</f>
        <v>0</v>
      </c>
      <c r="AG34" s="3">
        <f>IF(CATA!AF37=1,1,0)</f>
        <v>0</v>
      </c>
    </row>
    <row r="35" spans="1:33" ht="15" customHeight="1" x14ac:dyDescent="0.2">
      <c r="A35" s="3" t="str">
        <f>CATA!A38</f>
        <v>P17</v>
      </c>
      <c r="B35" s="3">
        <f>CATA!C38</f>
        <v>2</v>
      </c>
      <c r="C35" s="3" t="str">
        <f>CATA!D38</f>
        <v>381</v>
      </c>
      <c r="D35" s="3" t="str">
        <f>IF(C35=Setup!$B$5,Setup!$C$5,Setup!$C$6)</f>
        <v>Robusta Temanggung (dark roast)</v>
      </c>
      <c r="E35" s="3">
        <f>IF(COUNTA(CATA!E38:AF38)&gt;0,1,0)</f>
        <v>1</v>
      </c>
      <c r="F35" s="3">
        <f>IF(CATA!E38=1,1,0)</f>
        <v>0</v>
      </c>
      <c r="G35" s="3">
        <f>IF(CATA!F38=1,1,0)</f>
        <v>0</v>
      </c>
      <c r="H35" s="3">
        <f>IF(CATA!G38=1,1,0)</f>
        <v>0</v>
      </c>
      <c r="I35" s="3">
        <f>IF(CATA!H38=1,1,0)</f>
        <v>0</v>
      </c>
      <c r="J35" s="3">
        <f>IF(CATA!I38=1,1,0)</f>
        <v>0</v>
      </c>
      <c r="K35" s="3">
        <f>IF(CATA!J38=1,1,0)</f>
        <v>1</v>
      </c>
      <c r="L35" s="3">
        <f>IF(CATA!K38=1,1,0)</f>
        <v>1</v>
      </c>
      <c r="M35" s="3">
        <f>IF(CATA!L38=1,1,0)</f>
        <v>0</v>
      </c>
      <c r="N35" s="3">
        <f>IF(CATA!M38=1,1,0)</f>
        <v>0</v>
      </c>
      <c r="O35" s="3">
        <f>IF(CATA!N38=1,1,0)</f>
        <v>0</v>
      </c>
      <c r="P35" s="3">
        <f>IF(CATA!O38=1,1,0)</f>
        <v>0</v>
      </c>
      <c r="Q35" s="3">
        <f>IF(CATA!P38=1,1,0)</f>
        <v>0</v>
      </c>
      <c r="R35" s="3">
        <f>IF(CATA!Q38=1,1,0)</f>
        <v>0</v>
      </c>
      <c r="S35" s="3">
        <f>IF(CATA!R38=1,1,0)</f>
        <v>0</v>
      </c>
      <c r="T35" s="3">
        <f>IF(CATA!S38=1,1,0)</f>
        <v>1</v>
      </c>
      <c r="U35" s="3">
        <f>IF(CATA!T38=1,1,0)</f>
        <v>1</v>
      </c>
      <c r="V35" s="3">
        <f>IF(CATA!U38=1,1,0)</f>
        <v>1</v>
      </c>
      <c r="W35" s="3">
        <f>IF(CATA!V38=1,1,0)</f>
        <v>0</v>
      </c>
      <c r="X35" s="3">
        <f>IF(CATA!W38=1,1,0)</f>
        <v>0</v>
      </c>
      <c r="Y35" s="3">
        <f>IF(CATA!X38=1,1,0)</f>
        <v>0</v>
      </c>
      <c r="Z35" s="3">
        <f>IF(CATA!Y38=1,1,0)</f>
        <v>0</v>
      </c>
      <c r="AA35" s="3">
        <f>IF(CATA!Z38=1,1,0)</f>
        <v>1</v>
      </c>
      <c r="AB35" s="3">
        <f>IF(CATA!AA38=1,1,0)</f>
        <v>0</v>
      </c>
      <c r="AC35" s="3">
        <f>IF(CATA!AB38=1,1,0)</f>
        <v>1</v>
      </c>
      <c r="AD35" s="3">
        <f>IF(CATA!AC38=1,1,0)</f>
        <v>1</v>
      </c>
      <c r="AE35" s="3">
        <f>IF(CATA!AD38=1,1,0)</f>
        <v>0</v>
      </c>
      <c r="AF35" s="3">
        <f>IF(CATA!AE38=1,1,0)</f>
        <v>0</v>
      </c>
      <c r="AG35" s="3">
        <f>IF(CATA!AF38=1,1,0)</f>
        <v>0</v>
      </c>
    </row>
    <row r="36" spans="1:33" ht="15" customHeight="1" x14ac:dyDescent="0.2">
      <c r="A36" s="3" t="str">
        <f>CATA!A39</f>
        <v>P18</v>
      </c>
      <c r="B36" s="3">
        <f>CATA!C39</f>
        <v>1</v>
      </c>
      <c r="C36" s="3" t="str">
        <f>CATA!D39</f>
        <v>527</v>
      </c>
      <c r="D36" s="3" t="str">
        <f>IF(C36=Setup!$B$5,Setup!$C$5,Setup!$C$6)</f>
        <v>Ethiopia natural (light roast)</v>
      </c>
      <c r="E36" s="3">
        <f>IF(COUNTA(CATA!E39:AF39)&gt;0,1,0)</f>
        <v>1</v>
      </c>
      <c r="F36" s="3">
        <f>IF(CATA!E39=1,1,0)</f>
        <v>1</v>
      </c>
      <c r="G36" s="3">
        <f>IF(CATA!F39=1,1,0)</f>
        <v>0</v>
      </c>
      <c r="H36" s="3">
        <f>IF(CATA!G39=1,1,0)</f>
        <v>1</v>
      </c>
      <c r="I36" s="3">
        <f>IF(CATA!H39=1,1,0)</f>
        <v>0</v>
      </c>
      <c r="J36" s="3">
        <f>IF(CATA!I39=1,1,0)</f>
        <v>0</v>
      </c>
      <c r="K36" s="3">
        <f>IF(CATA!J39=1,1,0)</f>
        <v>0</v>
      </c>
      <c r="L36" s="3">
        <f>IF(CATA!K39=1,1,0)</f>
        <v>0</v>
      </c>
      <c r="M36" s="3">
        <f>IF(CATA!L39=1,1,0)</f>
        <v>0</v>
      </c>
      <c r="N36" s="3">
        <f>IF(CATA!M39=1,1,0)</f>
        <v>1</v>
      </c>
      <c r="O36" s="3">
        <f>IF(CATA!N39=1,1,0)</f>
        <v>1</v>
      </c>
      <c r="P36" s="3">
        <f>IF(CATA!O39=1,1,0)</f>
        <v>1</v>
      </c>
      <c r="Q36" s="3">
        <f>IF(CATA!P39=1,1,0)</f>
        <v>1</v>
      </c>
      <c r="R36" s="3">
        <f>IF(CATA!Q39=1,1,0)</f>
        <v>0</v>
      </c>
      <c r="S36" s="3">
        <f>IF(CATA!R39=1,1,0)</f>
        <v>0</v>
      </c>
      <c r="T36" s="3">
        <f>IF(CATA!S39=1,1,0)</f>
        <v>0</v>
      </c>
      <c r="U36" s="3">
        <f>IF(CATA!T39=1,1,0)</f>
        <v>0</v>
      </c>
      <c r="V36" s="3">
        <f>IF(CATA!U39=1,1,0)</f>
        <v>0</v>
      </c>
      <c r="W36" s="3">
        <f>IF(CATA!V39=1,1,0)</f>
        <v>0</v>
      </c>
      <c r="X36" s="3">
        <f>IF(CATA!W39=1,1,0)</f>
        <v>0</v>
      </c>
      <c r="Y36" s="3">
        <f>IF(CATA!X39=1,1,0)</f>
        <v>1</v>
      </c>
      <c r="Z36" s="3">
        <f>IF(CATA!Y39=1,1,0)</f>
        <v>1</v>
      </c>
      <c r="AA36" s="3">
        <f>IF(CATA!Z39=1,1,0)</f>
        <v>0</v>
      </c>
      <c r="AB36" s="3">
        <f>IF(CATA!AA39=1,1,0)</f>
        <v>0</v>
      </c>
      <c r="AC36" s="3">
        <f>IF(CATA!AB39=1,1,0)</f>
        <v>0</v>
      </c>
      <c r="AD36" s="3">
        <f>IF(CATA!AC39=1,1,0)</f>
        <v>0</v>
      </c>
      <c r="AE36" s="3">
        <f>IF(CATA!AD39=1,1,0)</f>
        <v>1</v>
      </c>
      <c r="AF36" s="3">
        <f>IF(CATA!AE39=1,1,0)</f>
        <v>0</v>
      </c>
      <c r="AG36" s="3">
        <f>IF(CATA!AF39=1,1,0)</f>
        <v>0</v>
      </c>
    </row>
    <row r="37" spans="1:33" ht="15" customHeight="1" x14ac:dyDescent="0.2">
      <c r="A37" s="3" t="str">
        <f>CATA!A40</f>
        <v>P18</v>
      </c>
      <c r="B37" s="3">
        <f>CATA!C40</f>
        <v>2</v>
      </c>
      <c r="C37" s="3" t="str">
        <f>CATA!D40</f>
        <v>381</v>
      </c>
      <c r="D37" s="3" t="str">
        <f>IF(C37=Setup!$B$5,Setup!$C$5,Setup!$C$6)</f>
        <v>Robusta Temanggung (dark roast)</v>
      </c>
      <c r="E37" s="3">
        <f>IF(COUNTA(CATA!E40:AF40)&gt;0,1,0)</f>
        <v>1</v>
      </c>
      <c r="F37" s="3">
        <f>IF(CATA!E40=1,1,0)</f>
        <v>0</v>
      </c>
      <c r="G37" s="3">
        <f>IF(CATA!F40=1,1,0)</f>
        <v>0</v>
      </c>
      <c r="H37" s="3">
        <f>IF(CATA!G40=1,1,0)</f>
        <v>1</v>
      </c>
      <c r="I37" s="3">
        <f>IF(CATA!H40=1,1,0)</f>
        <v>0</v>
      </c>
      <c r="J37" s="3">
        <f>IF(CATA!I40=1,1,0)</f>
        <v>0</v>
      </c>
      <c r="K37" s="3">
        <f>IF(CATA!J40=1,1,0)</f>
        <v>1</v>
      </c>
      <c r="L37" s="3">
        <f>IF(CATA!K40=1,1,0)</f>
        <v>1</v>
      </c>
      <c r="M37" s="3">
        <f>IF(CATA!L40=1,1,0)</f>
        <v>1</v>
      </c>
      <c r="N37" s="3">
        <f>IF(CATA!M40=1,1,0)</f>
        <v>0</v>
      </c>
      <c r="O37" s="3">
        <f>IF(CATA!N40=1,1,0)</f>
        <v>0</v>
      </c>
      <c r="P37" s="3">
        <f>IF(CATA!O40=1,1,0)</f>
        <v>0</v>
      </c>
      <c r="Q37" s="3">
        <f>IF(CATA!P40=1,1,0)</f>
        <v>0</v>
      </c>
      <c r="R37" s="3">
        <f>IF(CATA!Q40=1,1,0)</f>
        <v>1</v>
      </c>
      <c r="S37" s="3">
        <f>IF(CATA!R40=1,1,0)</f>
        <v>0</v>
      </c>
      <c r="T37" s="3">
        <f>IF(CATA!S40=1,1,0)</f>
        <v>1</v>
      </c>
      <c r="U37" s="3">
        <f>IF(CATA!T40=1,1,0)</f>
        <v>1</v>
      </c>
      <c r="V37" s="3">
        <f>IF(CATA!U40=1,1,0)</f>
        <v>0</v>
      </c>
      <c r="W37" s="3">
        <f>IF(CATA!V40=1,1,0)</f>
        <v>0</v>
      </c>
      <c r="X37" s="3">
        <f>IF(CATA!W40=1,1,0)</f>
        <v>0</v>
      </c>
      <c r="Y37" s="3">
        <f>IF(CATA!X40=1,1,0)</f>
        <v>0</v>
      </c>
      <c r="Z37" s="3">
        <f>IF(CATA!Y40=1,1,0)</f>
        <v>0</v>
      </c>
      <c r="AA37" s="3">
        <f>IF(CATA!Z40=1,1,0)</f>
        <v>1</v>
      </c>
      <c r="AB37" s="3">
        <f>IF(CATA!AA40=1,1,0)</f>
        <v>0</v>
      </c>
      <c r="AC37" s="3">
        <f>IF(CATA!AB40=1,1,0)</f>
        <v>0</v>
      </c>
      <c r="AD37" s="3">
        <f>IF(CATA!AC40=1,1,0)</f>
        <v>0</v>
      </c>
      <c r="AE37" s="3">
        <f>IF(CATA!AD40=1,1,0)</f>
        <v>0</v>
      </c>
      <c r="AF37" s="3">
        <f>IF(CATA!AE40=1,1,0)</f>
        <v>0</v>
      </c>
      <c r="AG37" s="3">
        <f>IF(CATA!AF40=1,1,0)</f>
        <v>0</v>
      </c>
    </row>
    <row r="38" spans="1:33" ht="15" customHeight="1" x14ac:dyDescent="0.2">
      <c r="A38" s="3" t="str">
        <f>CATA!A41</f>
        <v>P19</v>
      </c>
      <c r="B38" s="3">
        <f>CATA!C41</f>
        <v>1</v>
      </c>
      <c r="C38" s="3" t="str">
        <f>CATA!D41</f>
        <v>527</v>
      </c>
      <c r="D38" s="3" t="str">
        <f>IF(C38=Setup!$B$5,Setup!$C$5,Setup!$C$6)</f>
        <v>Ethiopia natural (light roast)</v>
      </c>
      <c r="E38" s="3">
        <f>IF(COUNTA(CATA!E41:AF41)&gt;0,1,0)</f>
        <v>1</v>
      </c>
      <c r="F38" s="3">
        <f>IF(CATA!E41=1,1,0)</f>
        <v>1</v>
      </c>
      <c r="G38" s="3">
        <f>IF(CATA!F41=1,1,0)</f>
        <v>1</v>
      </c>
      <c r="H38" s="3">
        <f>IF(CATA!G41=1,1,0)</f>
        <v>0</v>
      </c>
      <c r="I38" s="3">
        <f>IF(CATA!H41=1,1,0)</f>
        <v>0</v>
      </c>
      <c r="J38" s="3">
        <f>IF(CATA!I41=1,1,0)</f>
        <v>0</v>
      </c>
      <c r="K38" s="3">
        <f>IF(CATA!J41=1,1,0)</f>
        <v>0</v>
      </c>
      <c r="L38" s="3">
        <f>IF(CATA!K41=1,1,0)</f>
        <v>0</v>
      </c>
      <c r="M38" s="3">
        <f>IF(CATA!L41=1,1,0)</f>
        <v>0</v>
      </c>
      <c r="N38" s="3">
        <f>IF(CATA!M41=1,1,0)</f>
        <v>0</v>
      </c>
      <c r="O38" s="3">
        <f>IF(CATA!N41=1,1,0)</f>
        <v>0</v>
      </c>
      <c r="P38" s="3">
        <f>IF(CATA!O41=1,1,0)</f>
        <v>1</v>
      </c>
      <c r="Q38" s="3">
        <f>IF(CATA!P41=1,1,0)</f>
        <v>1</v>
      </c>
      <c r="R38" s="3">
        <f>IF(CATA!Q41=1,1,0)</f>
        <v>0</v>
      </c>
      <c r="S38" s="3">
        <f>IF(CATA!R41=1,1,0)</f>
        <v>0</v>
      </c>
      <c r="T38" s="3">
        <f>IF(CATA!S41=1,1,0)</f>
        <v>0</v>
      </c>
      <c r="U38" s="3">
        <f>IF(CATA!T41=1,1,0)</f>
        <v>0</v>
      </c>
      <c r="V38" s="3">
        <f>IF(CATA!U41=1,1,0)</f>
        <v>1</v>
      </c>
      <c r="W38" s="3">
        <f>IF(CATA!V41=1,1,0)</f>
        <v>1</v>
      </c>
      <c r="X38" s="3">
        <f>IF(CATA!W41=1,1,0)</f>
        <v>0</v>
      </c>
      <c r="Y38" s="3">
        <f>IF(CATA!X41=1,1,0)</f>
        <v>1</v>
      </c>
      <c r="Z38" s="3">
        <f>IF(CATA!Y41=1,1,0)</f>
        <v>1</v>
      </c>
      <c r="AA38" s="3">
        <f>IF(CATA!Z41=1,1,0)</f>
        <v>0</v>
      </c>
      <c r="AB38" s="3">
        <f>IF(CATA!AA41=1,1,0)</f>
        <v>0</v>
      </c>
      <c r="AC38" s="3">
        <f>IF(CATA!AB41=1,1,0)</f>
        <v>0</v>
      </c>
      <c r="AD38" s="3">
        <f>IF(CATA!AC41=1,1,0)</f>
        <v>0</v>
      </c>
      <c r="AE38" s="3">
        <f>IF(CATA!AD41=1,1,0)</f>
        <v>1</v>
      </c>
      <c r="AF38" s="3">
        <f>IF(CATA!AE41=1,1,0)</f>
        <v>0</v>
      </c>
      <c r="AG38" s="3">
        <f>IF(CATA!AF41=1,1,0)</f>
        <v>0</v>
      </c>
    </row>
    <row r="39" spans="1:33" ht="15" customHeight="1" x14ac:dyDescent="0.2">
      <c r="A39" s="3" t="str">
        <f>CATA!A42</f>
        <v>P19</v>
      </c>
      <c r="B39" s="3">
        <f>CATA!C42</f>
        <v>2</v>
      </c>
      <c r="C39" s="3" t="str">
        <f>CATA!D42</f>
        <v>381</v>
      </c>
      <c r="D39" s="3" t="str">
        <f>IF(C39=Setup!$B$5,Setup!$C$5,Setup!$C$6)</f>
        <v>Robusta Temanggung (dark roast)</v>
      </c>
      <c r="E39" s="3">
        <f>IF(COUNTA(CATA!E42:AF42)&gt;0,1,0)</f>
        <v>1</v>
      </c>
      <c r="F39" s="3">
        <f>IF(CATA!E42=1,1,0)</f>
        <v>0</v>
      </c>
      <c r="G39" s="3">
        <f>IF(CATA!F42=1,1,0)</f>
        <v>1</v>
      </c>
      <c r="H39" s="3">
        <f>IF(CATA!G42=1,1,0)</f>
        <v>1</v>
      </c>
      <c r="I39" s="3">
        <f>IF(CATA!H42=1,1,0)</f>
        <v>0</v>
      </c>
      <c r="J39" s="3">
        <f>IF(CATA!I42=1,1,0)</f>
        <v>0</v>
      </c>
      <c r="K39" s="3">
        <f>IF(CATA!J42=1,1,0)</f>
        <v>1</v>
      </c>
      <c r="L39" s="3">
        <f>IF(CATA!K42=1,1,0)</f>
        <v>1</v>
      </c>
      <c r="M39" s="3">
        <f>IF(CATA!L42=1,1,0)</f>
        <v>1</v>
      </c>
      <c r="N39" s="3">
        <f>IF(CATA!M42=1,1,0)</f>
        <v>0</v>
      </c>
      <c r="O39" s="3">
        <f>IF(CATA!N42=1,1,0)</f>
        <v>0</v>
      </c>
      <c r="P39" s="3">
        <f>IF(CATA!O42=1,1,0)</f>
        <v>0</v>
      </c>
      <c r="Q39" s="3">
        <f>IF(CATA!P42=1,1,0)</f>
        <v>0</v>
      </c>
      <c r="R39" s="3">
        <f>IF(CATA!Q42=1,1,0)</f>
        <v>0</v>
      </c>
      <c r="S39" s="3">
        <f>IF(CATA!R42=1,1,0)</f>
        <v>0</v>
      </c>
      <c r="T39" s="3">
        <f>IF(CATA!S42=1,1,0)</f>
        <v>1</v>
      </c>
      <c r="U39" s="3">
        <f>IF(CATA!T42=1,1,0)</f>
        <v>1</v>
      </c>
      <c r="V39" s="3">
        <f>IF(CATA!U42=1,1,0)</f>
        <v>1</v>
      </c>
      <c r="W39" s="3">
        <f>IF(CATA!V42=1,1,0)</f>
        <v>1</v>
      </c>
      <c r="X39" s="3">
        <f>IF(CATA!W42=1,1,0)</f>
        <v>0</v>
      </c>
      <c r="Y39" s="3">
        <f>IF(CATA!X42=1,1,0)</f>
        <v>1</v>
      </c>
      <c r="Z39" s="3">
        <f>IF(CATA!Y42=1,1,0)</f>
        <v>0</v>
      </c>
      <c r="AA39" s="3">
        <f>IF(CATA!Z42=1,1,0)</f>
        <v>0</v>
      </c>
      <c r="AB39" s="3">
        <f>IF(CATA!AA42=1,1,0)</f>
        <v>0</v>
      </c>
      <c r="AC39" s="3">
        <f>IF(CATA!AB42=1,1,0)</f>
        <v>0</v>
      </c>
      <c r="AD39" s="3">
        <f>IF(CATA!AC42=1,1,0)</f>
        <v>0</v>
      </c>
      <c r="AE39" s="3">
        <f>IF(CATA!AD42=1,1,0)</f>
        <v>0</v>
      </c>
      <c r="AF39" s="3">
        <f>IF(CATA!AE42=1,1,0)</f>
        <v>1</v>
      </c>
      <c r="AG39" s="3">
        <f>IF(CATA!AF42=1,1,0)</f>
        <v>1</v>
      </c>
    </row>
    <row r="40" spans="1:33" ht="15" customHeight="1" x14ac:dyDescent="0.2">
      <c r="A40" s="3" t="str">
        <f>CATA!A43</f>
        <v>P20</v>
      </c>
      <c r="B40" s="3">
        <f>CATA!C43</f>
        <v>1</v>
      </c>
      <c r="C40" s="3" t="str">
        <f>CATA!D43</f>
        <v>527</v>
      </c>
      <c r="D40" s="3" t="str">
        <f>IF(C40=Setup!$B$5,Setup!$C$5,Setup!$C$6)</f>
        <v>Ethiopia natural (light roast)</v>
      </c>
      <c r="E40" s="3">
        <f>IF(COUNTA(CATA!E43:AF43)&gt;0,1,0)</f>
        <v>1</v>
      </c>
      <c r="F40" s="3">
        <f>IF(CATA!E43=1,1,0)</f>
        <v>1</v>
      </c>
      <c r="G40" s="3">
        <f>IF(CATA!F43=1,1,0)</f>
        <v>1</v>
      </c>
      <c r="H40" s="3">
        <f>IF(CATA!G43=1,1,0)</f>
        <v>0</v>
      </c>
      <c r="I40" s="3">
        <f>IF(CATA!H43=1,1,0)</f>
        <v>0</v>
      </c>
      <c r="J40" s="3">
        <f>IF(CATA!I43=1,1,0)</f>
        <v>0</v>
      </c>
      <c r="K40" s="3">
        <f>IF(CATA!J43=1,1,0)</f>
        <v>0</v>
      </c>
      <c r="L40" s="3">
        <f>IF(CATA!K43=1,1,0)</f>
        <v>1</v>
      </c>
      <c r="M40" s="3">
        <f>IF(CATA!L43=1,1,0)</f>
        <v>1</v>
      </c>
      <c r="N40" s="3">
        <f>IF(CATA!M43=1,1,0)</f>
        <v>1</v>
      </c>
      <c r="O40" s="3">
        <f>IF(CATA!N43=1,1,0)</f>
        <v>1</v>
      </c>
      <c r="P40" s="3">
        <f>IF(CATA!O43=1,1,0)</f>
        <v>0</v>
      </c>
      <c r="Q40" s="3">
        <f>IF(CATA!P43=1,1,0)</f>
        <v>1</v>
      </c>
      <c r="R40" s="3">
        <f>IF(CATA!Q43=1,1,0)</f>
        <v>0</v>
      </c>
      <c r="S40" s="3">
        <f>IF(CATA!R43=1,1,0)</f>
        <v>0</v>
      </c>
      <c r="T40" s="3">
        <f>IF(CATA!S43=1,1,0)</f>
        <v>0</v>
      </c>
      <c r="U40" s="3">
        <f>IF(CATA!T43=1,1,0)</f>
        <v>1</v>
      </c>
      <c r="V40" s="3">
        <f>IF(CATA!U43=1,1,0)</f>
        <v>0</v>
      </c>
      <c r="W40" s="3">
        <f>IF(CATA!V43=1,1,0)</f>
        <v>0</v>
      </c>
      <c r="X40" s="3">
        <f>IF(CATA!W43=1,1,0)</f>
        <v>0</v>
      </c>
      <c r="Y40" s="3">
        <f>IF(CATA!X43=1,1,0)</f>
        <v>1</v>
      </c>
      <c r="Z40" s="3">
        <f>IF(CATA!Y43=1,1,0)</f>
        <v>0</v>
      </c>
      <c r="AA40" s="3">
        <f>IF(CATA!Z43=1,1,0)</f>
        <v>0</v>
      </c>
      <c r="AB40" s="3">
        <f>IF(CATA!AA43=1,1,0)</f>
        <v>0</v>
      </c>
      <c r="AC40" s="3">
        <f>IF(CATA!AB43=1,1,0)</f>
        <v>0</v>
      </c>
      <c r="AD40" s="3">
        <f>IF(CATA!AC43=1,1,0)</f>
        <v>0</v>
      </c>
      <c r="AE40" s="3">
        <f>IF(CATA!AD43=1,1,0)</f>
        <v>1</v>
      </c>
      <c r="AF40" s="3">
        <f>IF(CATA!AE43=1,1,0)</f>
        <v>0</v>
      </c>
      <c r="AG40" s="3">
        <f>IF(CATA!AF43=1,1,0)</f>
        <v>0</v>
      </c>
    </row>
    <row r="41" spans="1:33" ht="15" customHeight="1" x14ac:dyDescent="0.2">
      <c r="A41" s="3" t="str">
        <f>CATA!A44</f>
        <v>P20</v>
      </c>
      <c r="B41" s="3">
        <f>CATA!C44</f>
        <v>2</v>
      </c>
      <c r="C41" s="3" t="str">
        <f>CATA!D44</f>
        <v>381</v>
      </c>
      <c r="D41" s="3" t="str">
        <f>IF(C41=Setup!$B$5,Setup!$C$5,Setup!$C$6)</f>
        <v>Robusta Temanggung (dark roast)</v>
      </c>
      <c r="E41" s="3">
        <f>IF(COUNTA(CATA!E44:AF44)&gt;0,1,0)</f>
        <v>1</v>
      </c>
      <c r="F41" s="3">
        <f>IF(CATA!E44=1,1,0)</f>
        <v>0</v>
      </c>
      <c r="G41" s="3">
        <f>IF(CATA!F44=1,1,0)</f>
        <v>0</v>
      </c>
      <c r="H41" s="3">
        <f>IF(CATA!G44=1,1,0)</f>
        <v>1</v>
      </c>
      <c r="I41" s="3">
        <f>IF(CATA!H44=1,1,0)</f>
        <v>0</v>
      </c>
      <c r="J41" s="3">
        <f>IF(CATA!I44=1,1,0)</f>
        <v>0</v>
      </c>
      <c r="K41" s="3">
        <f>IF(CATA!J44=1,1,0)</f>
        <v>1</v>
      </c>
      <c r="L41" s="3">
        <f>IF(CATA!K44=1,1,0)</f>
        <v>0</v>
      </c>
      <c r="M41" s="3">
        <f>IF(CATA!L44=1,1,0)</f>
        <v>1</v>
      </c>
      <c r="N41" s="3">
        <f>IF(CATA!M44=1,1,0)</f>
        <v>1</v>
      </c>
      <c r="O41" s="3">
        <f>IF(CATA!N44=1,1,0)</f>
        <v>0</v>
      </c>
      <c r="P41" s="3">
        <f>IF(CATA!O44=1,1,0)</f>
        <v>0</v>
      </c>
      <c r="Q41" s="3">
        <f>IF(CATA!P44=1,1,0)</f>
        <v>0</v>
      </c>
      <c r="R41" s="3">
        <f>IF(CATA!Q44=1,1,0)</f>
        <v>0</v>
      </c>
      <c r="S41" s="3">
        <f>IF(CATA!R44=1,1,0)</f>
        <v>0</v>
      </c>
      <c r="T41" s="3">
        <f>IF(CATA!S44=1,1,0)</f>
        <v>1</v>
      </c>
      <c r="U41" s="3">
        <f>IF(CATA!T44=1,1,0)</f>
        <v>1</v>
      </c>
      <c r="V41" s="3">
        <f>IF(CATA!U44=1,1,0)</f>
        <v>1</v>
      </c>
      <c r="W41" s="3">
        <f>IF(CATA!V44=1,1,0)</f>
        <v>0</v>
      </c>
      <c r="X41" s="3">
        <f>IF(CATA!W44=1,1,0)</f>
        <v>0</v>
      </c>
      <c r="Y41" s="3">
        <f>IF(CATA!X44=1,1,0)</f>
        <v>0</v>
      </c>
      <c r="Z41" s="3">
        <f>IF(CATA!Y44=1,1,0)</f>
        <v>0</v>
      </c>
      <c r="AA41" s="3">
        <f>IF(CATA!Z44=1,1,0)</f>
        <v>1</v>
      </c>
      <c r="AB41" s="3">
        <f>IF(CATA!AA44=1,1,0)</f>
        <v>0</v>
      </c>
      <c r="AC41" s="3">
        <f>IF(CATA!AB44=1,1,0)</f>
        <v>0</v>
      </c>
      <c r="AD41" s="3">
        <f>IF(CATA!AC44=1,1,0)</f>
        <v>0</v>
      </c>
      <c r="AE41" s="3">
        <f>IF(CATA!AD44=1,1,0)</f>
        <v>1</v>
      </c>
      <c r="AF41" s="3">
        <f>IF(CATA!AE44=1,1,0)</f>
        <v>1</v>
      </c>
      <c r="AG41" s="3">
        <f>IF(CATA!AF44=1,1,0)</f>
        <v>0</v>
      </c>
    </row>
    <row r="42" spans="1:33" ht="15" customHeight="1" x14ac:dyDescent="0.2">
      <c r="A42" s="3" t="str">
        <f>CATA!A45</f>
        <v>P21</v>
      </c>
      <c r="B42" s="3">
        <f>CATA!C45</f>
        <v>1</v>
      </c>
      <c r="C42" s="3" t="str">
        <f>CATA!D45</f>
        <v>527</v>
      </c>
      <c r="D42" s="3" t="str">
        <f>IF(C42=Setup!$B$5,Setup!$C$5,Setup!$C$6)</f>
        <v>Ethiopia natural (light roast)</v>
      </c>
      <c r="E42" s="3">
        <f>IF(COUNTA(CATA!E45:AF45)&gt;0,1,0)</f>
        <v>1</v>
      </c>
      <c r="F42" s="3">
        <f>IF(CATA!E45=1,1,0)</f>
        <v>1</v>
      </c>
      <c r="G42" s="3">
        <f>IF(CATA!F45=1,1,0)</f>
        <v>1</v>
      </c>
      <c r="H42" s="3">
        <f>IF(CATA!G45=1,1,0)</f>
        <v>1</v>
      </c>
      <c r="I42" s="3">
        <f>IF(CATA!H45=1,1,0)</f>
        <v>0</v>
      </c>
      <c r="J42" s="3">
        <f>IF(CATA!I45=1,1,0)</f>
        <v>0</v>
      </c>
      <c r="K42" s="3">
        <f>IF(CATA!J45=1,1,0)</f>
        <v>0</v>
      </c>
      <c r="L42" s="3">
        <f>IF(CATA!K45=1,1,0)</f>
        <v>0</v>
      </c>
      <c r="M42" s="3">
        <f>IF(CATA!L45=1,1,0)</f>
        <v>0</v>
      </c>
      <c r="N42" s="3">
        <f>IF(CATA!M45=1,1,0)</f>
        <v>1</v>
      </c>
      <c r="O42" s="3">
        <f>IF(CATA!N45=1,1,0)</f>
        <v>1</v>
      </c>
      <c r="P42" s="3">
        <f>IF(CATA!O45=1,1,0)</f>
        <v>1</v>
      </c>
      <c r="Q42" s="3">
        <f>IF(CATA!P45=1,1,0)</f>
        <v>0</v>
      </c>
      <c r="R42" s="3">
        <f>IF(CATA!Q45=1,1,0)</f>
        <v>0</v>
      </c>
      <c r="S42" s="3">
        <f>IF(CATA!R45=1,1,0)</f>
        <v>0</v>
      </c>
      <c r="T42" s="3">
        <f>IF(CATA!S45=1,1,0)</f>
        <v>1</v>
      </c>
      <c r="U42" s="3">
        <f>IF(CATA!T45=1,1,0)</f>
        <v>0</v>
      </c>
      <c r="V42" s="3">
        <f>IF(CATA!U45=1,1,0)</f>
        <v>0</v>
      </c>
      <c r="W42" s="3">
        <f>IF(CATA!V45=1,1,0)</f>
        <v>0</v>
      </c>
      <c r="X42" s="3">
        <f>IF(CATA!W45=1,1,0)</f>
        <v>0</v>
      </c>
      <c r="Y42" s="3">
        <f>IF(CATA!X45=1,1,0)</f>
        <v>1</v>
      </c>
      <c r="Z42" s="3">
        <f>IF(CATA!Y45=1,1,0)</f>
        <v>1</v>
      </c>
      <c r="AA42" s="3">
        <f>IF(CATA!Z45=1,1,0)</f>
        <v>0</v>
      </c>
      <c r="AB42" s="3">
        <f>IF(CATA!AA45=1,1,0)</f>
        <v>0</v>
      </c>
      <c r="AC42" s="3">
        <f>IF(CATA!AB45=1,1,0)</f>
        <v>0</v>
      </c>
      <c r="AD42" s="3">
        <f>IF(CATA!AC45=1,1,0)</f>
        <v>0</v>
      </c>
      <c r="AE42" s="3">
        <f>IF(CATA!AD45=1,1,0)</f>
        <v>0</v>
      </c>
      <c r="AF42" s="3">
        <f>IF(CATA!AE45=1,1,0)</f>
        <v>1</v>
      </c>
      <c r="AG42" s="3">
        <f>IF(CATA!AF45=1,1,0)</f>
        <v>0</v>
      </c>
    </row>
    <row r="43" spans="1:33" ht="15" customHeight="1" x14ac:dyDescent="0.2">
      <c r="A43" s="3" t="str">
        <f>CATA!A46</f>
        <v>P21</v>
      </c>
      <c r="B43" s="3">
        <f>CATA!C46</f>
        <v>2</v>
      </c>
      <c r="C43" s="3" t="str">
        <f>CATA!D46</f>
        <v>381</v>
      </c>
      <c r="D43" s="3" t="str">
        <f>IF(C43=Setup!$B$5,Setup!$C$5,Setup!$C$6)</f>
        <v>Robusta Temanggung (dark roast)</v>
      </c>
      <c r="E43" s="3">
        <f>IF(COUNTA(CATA!E46:AF46)&gt;0,1,0)</f>
        <v>1</v>
      </c>
      <c r="F43" s="3">
        <f>IF(CATA!E46=1,1,0)</f>
        <v>0</v>
      </c>
      <c r="G43" s="3">
        <f>IF(CATA!F46=1,1,0)</f>
        <v>0</v>
      </c>
      <c r="H43" s="3">
        <f>IF(CATA!G46=1,1,0)</f>
        <v>0</v>
      </c>
      <c r="I43" s="3">
        <f>IF(CATA!H46=1,1,0)</f>
        <v>1</v>
      </c>
      <c r="J43" s="3">
        <f>IF(CATA!I46=1,1,0)</f>
        <v>0</v>
      </c>
      <c r="K43" s="3">
        <f>IF(CATA!J46=1,1,0)</f>
        <v>1</v>
      </c>
      <c r="L43" s="3">
        <f>IF(CATA!K46=1,1,0)</f>
        <v>1</v>
      </c>
      <c r="M43" s="3">
        <f>IF(CATA!L46=1,1,0)</f>
        <v>0</v>
      </c>
      <c r="N43" s="3">
        <f>IF(CATA!M46=1,1,0)</f>
        <v>1</v>
      </c>
      <c r="O43" s="3">
        <f>IF(CATA!N46=1,1,0)</f>
        <v>0</v>
      </c>
      <c r="P43" s="3">
        <f>IF(CATA!O46=1,1,0)</f>
        <v>1</v>
      </c>
      <c r="Q43" s="3">
        <f>IF(CATA!P46=1,1,0)</f>
        <v>0</v>
      </c>
      <c r="R43" s="3">
        <f>IF(CATA!Q46=1,1,0)</f>
        <v>1</v>
      </c>
      <c r="S43" s="3">
        <f>IF(CATA!R46=1,1,0)</f>
        <v>0</v>
      </c>
      <c r="T43" s="3">
        <f>IF(CATA!S46=1,1,0)</f>
        <v>1</v>
      </c>
      <c r="U43" s="3">
        <f>IF(CATA!T46=1,1,0)</f>
        <v>0</v>
      </c>
      <c r="V43" s="3">
        <f>IF(CATA!U46=1,1,0)</f>
        <v>1</v>
      </c>
      <c r="W43" s="3">
        <f>IF(CATA!V46=1,1,0)</f>
        <v>0</v>
      </c>
      <c r="X43" s="3">
        <f>IF(CATA!W46=1,1,0)</f>
        <v>0</v>
      </c>
      <c r="Y43" s="3">
        <f>IF(CATA!X46=1,1,0)</f>
        <v>0</v>
      </c>
      <c r="Z43" s="3">
        <f>IF(CATA!Y46=1,1,0)</f>
        <v>0</v>
      </c>
      <c r="AA43" s="3">
        <f>IF(CATA!Z46=1,1,0)</f>
        <v>1</v>
      </c>
      <c r="AB43" s="3">
        <f>IF(CATA!AA46=1,1,0)</f>
        <v>0</v>
      </c>
      <c r="AC43" s="3">
        <f>IF(CATA!AB46=1,1,0)</f>
        <v>1</v>
      </c>
      <c r="AD43" s="3">
        <f>IF(CATA!AC46=1,1,0)</f>
        <v>0</v>
      </c>
      <c r="AE43" s="3">
        <f>IF(CATA!AD46=1,1,0)</f>
        <v>0</v>
      </c>
      <c r="AF43" s="3">
        <f>IF(CATA!AE46=1,1,0)</f>
        <v>0</v>
      </c>
      <c r="AG43" s="3">
        <f>IF(CATA!AF46=1,1,0)</f>
        <v>0</v>
      </c>
    </row>
    <row r="44" spans="1:33" ht="15" customHeight="1" x14ac:dyDescent="0.2">
      <c r="A44" s="3" t="str">
        <f>CATA!A47</f>
        <v>P22</v>
      </c>
      <c r="B44" s="3">
        <f>CATA!C47</f>
        <v>1</v>
      </c>
      <c r="C44" s="3" t="str">
        <f>CATA!D47</f>
        <v>527</v>
      </c>
      <c r="D44" s="3" t="str">
        <f>IF(C44=Setup!$B$5,Setup!$C$5,Setup!$C$6)</f>
        <v>Ethiopia natural (light roast)</v>
      </c>
      <c r="E44" s="3">
        <f>IF(COUNTA(CATA!E47:AF47)&gt;0,1,0)</f>
        <v>1</v>
      </c>
      <c r="F44" s="3">
        <f>IF(CATA!E47=1,1,0)</f>
        <v>0</v>
      </c>
      <c r="G44" s="3">
        <f>IF(CATA!F47=1,1,0)</f>
        <v>1</v>
      </c>
      <c r="H44" s="3">
        <f>IF(CATA!G47=1,1,0)</f>
        <v>1</v>
      </c>
      <c r="I44" s="3">
        <f>IF(CATA!H47=1,1,0)</f>
        <v>0</v>
      </c>
      <c r="J44" s="3">
        <f>IF(CATA!I47=1,1,0)</f>
        <v>0</v>
      </c>
      <c r="K44" s="3">
        <f>IF(CATA!J47=1,1,0)</f>
        <v>0</v>
      </c>
      <c r="L44" s="3">
        <f>IF(CATA!K47=1,1,0)</f>
        <v>0</v>
      </c>
      <c r="M44" s="3">
        <f>IF(CATA!L47=1,1,0)</f>
        <v>0</v>
      </c>
      <c r="N44" s="3">
        <f>IF(CATA!M47=1,1,0)</f>
        <v>1</v>
      </c>
      <c r="O44" s="3">
        <f>IF(CATA!N47=1,1,0)</f>
        <v>0</v>
      </c>
      <c r="P44" s="3">
        <f>IF(CATA!O47=1,1,0)</f>
        <v>1</v>
      </c>
      <c r="Q44" s="3">
        <f>IF(CATA!P47=1,1,0)</f>
        <v>1</v>
      </c>
      <c r="R44" s="3">
        <f>IF(CATA!Q47=1,1,0)</f>
        <v>0</v>
      </c>
      <c r="S44" s="3">
        <f>IF(CATA!R47=1,1,0)</f>
        <v>0</v>
      </c>
      <c r="T44" s="3">
        <f>IF(CATA!S47=1,1,0)</f>
        <v>0</v>
      </c>
      <c r="U44" s="3">
        <f>IF(CATA!T47=1,1,0)</f>
        <v>0</v>
      </c>
      <c r="V44" s="3">
        <f>IF(CATA!U47=1,1,0)</f>
        <v>0</v>
      </c>
      <c r="W44" s="3">
        <f>IF(CATA!V47=1,1,0)</f>
        <v>1</v>
      </c>
      <c r="X44" s="3">
        <f>IF(CATA!W47=1,1,0)</f>
        <v>0</v>
      </c>
      <c r="Y44" s="3">
        <f>IF(CATA!X47=1,1,0)</f>
        <v>1</v>
      </c>
      <c r="Z44" s="3">
        <f>IF(CATA!Y47=1,1,0)</f>
        <v>0</v>
      </c>
      <c r="AA44" s="3">
        <f>IF(CATA!Z47=1,1,0)</f>
        <v>0</v>
      </c>
      <c r="AB44" s="3">
        <f>IF(CATA!AA47=1,1,0)</f>
        <v>0</v>
      </c>
      <c r="AC44" s="3">
        <f>IF(CATA!AB47=1,1,0)</f>
        <v>0</v>
      </c>
      <c r="AD44" s="3">
        <f>IF(CATA!AC47=1,1,0)</f>
        <v>0</v>
      </c>
      <c r="AE44" s="3">
        <f>IF(CATA!AD47=1,1,0)</f>
        <v>1</v>
      </c>
      <c r="AF44" s="3">
        <f>IF(CATA!AE47=1,1,0)</f>
        <v>0</v>
      </c>
      <c r="AG44" s="3">
        <f>IF(CATA!AF47=1,1,0)</f>
        <v>0</v>
      </c>
    </row>
    <row r="45" spans="1:33" ht="15" customHeight="1" x14ac:dyDescent="0.2">
      <c r="A45" s="3" t="str">
        <f>CATA!A48</f>
        <v>P22</v>
      </c>
      <c r="B45" s="3">
        <f>CATA!C48</f>
        <v>2</v>
      </c>
      <c r="C45" s="3" t="str">
        <f>CATA!D48</f>
        <v>381</v>
      </c>
      <c r="D45" s="3" t="str">
        <f>IF(C45=Setup!$B$5,Setup!$C$5,Setup!$C$6)</f>
        <v>Robusta Temanggung (dark roast)</v>
      </c>
      <c r="E45" s="3">
        <f>IF(COUNTA(CATA!E48:AF48)&gt;0,1,0)</f>
        <v>1</v>
      </c>
      <c r="F45" s="3">
        <f>IF(CATA!E48=1,1,0)</f>
        <v>0</v>
      </c>
      <c r="G45" s="3">
        <f>IF(CATA!F48=1,1,0)</f>
        <v>0</v>
      </c>
      <c r="H45" s="3">
        <f>IF(CATA!G48=1,1,0)</f>
        <v>0</v>
      </c>
      <c r="I45" s="3">
        <f>IF(CATA!H48=1,1,0)</f>
        <v>0</v>
      </c>
      <c r="J45" s="3">
        <f>IF(CATA!I48=1,1,0)</f>
        <v>0</v>
      </c>
      <c r="K45" s="3">
        <f>IF(CATA!J48=1,1,0)</f>
        <v>1</v>
      </c>
      <c r="L45" s="3">
        <f>IF(CATA!K48=1,1,0)</f>
        <v>1</v>
      </c>
      <c r="M45" s="3">
        <f>IF(CATA!L48=1,1,0)</f>
        <v>1</v>
      </c>
      <c r="N45" s="3">
        <f>IF(CATA!M48=1,1,0)</f>
        <v>0</v>
      </c>
      <c r="O45" s="3">
        <f>IF(CATA!N48=1,1,0)</f>
        <v>0</v>
      </c>
      <c r="P45" s="3">
        <f>IF(CATA!O48=1,1,0)</f>
        <v>0</v>
      </c>
      <c r="Q45" s="3">
        <f>IF(CATA!P48=1,1,0)</f>
        <v>0</v>
      </c>
      <c r="R45" s="3">
        <f>IF(CATA!Q48=1,1,0)</f>
        <v>0</v>
      </c>
      <c r="S45" s="3">
        <f>IF(CATA!R48=1,1,0)</f>
        <v>0</v>
      </c>
      <c r="T45" s="3">
        <f>IF(CATA!S48=1,1,0)</f>
        <v>0</v>
      </c>
      <c r="U45" s="3">
        <f>IF(CATA!T48=1,1,0)</f>
        <v>1</v>
      </c>
      <c r="V45" s="3">
        <f>IF(CATA!U48=1,1,0)</f>
        <v>0</v>
      </c>
      <c r="W45" s="3">
        <f>IF(CATA!V48=1,1,0)</f>
        <v>0</v>
      </c>
      <c r="X45" s="3">
        <f>IF(CATA!W48=1,1,0)</f>
        <v>0</v>
      </c>
      <c r="Y45" s="3">
        <f>IF(CATA!X48=1,1,0)</f>
        <v>0</v>
      </c>
      <c r="Z45" s="3">
        <f>IF(CATA!Y48=1,1,0)</f>
        <v>0</v>
      </c>
      <c r="AA45" s="3">
        <f>IF(CATA!Z48=1,1,0)</f>
        <v>1</v>
      </c>
      <c r="AB45" s="3">
        <f>IF(CATA!AA48=1,1,0)</f>
        <v>0</v>
      </c>
      <c r="AC45" s="3">
        <f>IF(CATA!AB48=1,1,0)</f>
        <v>1</v>
      </c>
      <c r="AD45" s="3">
        <f>IF(CATA!AC48=1,1,0)</f>
        <v>0</v>
      </c>
      <c r="AE45" s="3">
        <f>IF(CATA!AD48=1,1,0)</f>
        <v>0</v>
      </c>
      <c r="AF45" s="3">
        <f>IF(CATA!AE48=1,1,0)</f>
        <v>0</v>
      </c>
      <c r="AG45" s="3">
        <f>IF(CATA!AF48=1,1,0)</f>
        <v>0</v>
      </c>
    </row>
    <row r="46" spans="1:33" ht="15" customHeight="1" x14ac:dyDescent="0.2">
      <c r="A46" s="3" t="str">
        <f>CATA!A49</f>
        <v>P23</v>
      </c>
      <c r="B46" s="3">
        <f>CATA!C49</f>
        <v>1</v>
      </c>
      <c r="C46" s="3" t="str">
        <f>CATA!D49</f>
        <v>527</v>
      </c>
      <c r="D46" s="3" t="str">
        <f>IF(C46=Setup!$B$5,Setup!$C$5,Setup!$C$6)</f>
        <v>Ethiopia natural (light roast)</v>
      </c>
      <c r="E46" s="3">
        <f>IF(COUNTA(CATA!E49:AF49)&gt;0,1,0)</f>
        <v>1</v>
      </c>
      <c r="F46" s="3">
        <f>IF(CATA!E49=1,1,0)</f>
        <v>1</v>
      </c>
      <c r="G46" s="3">
        <f>IF(CATA!F49=1,1,0)</f>
        <v>1</v>
      </c>
      <c r="H46" s="3">
        <f>IF(CATA!G49=1,1,0)</f>
        <v>1</v>
      </c>
      <c r="I46" s="3">
        <f>IF(CATA!H49=1,1,0)</f>
        <v>1</v>
      </c>
      <c r="J46" s="3">
        <f>IF(CATA!I49=1,1,0)</f>
        <v>0</v>
      </c>
      <c r="K46" s="3">
        <f>IF(CATA!J49=1,1,0)</f>
        <v>0</v>
      </c>
      <c r="L46" s="3">
        <f>IF(CATA!K49=1,1,0)</f>
        <v>1</v>
      </c>
      <c r="M46" s="3">
        <f>IF(CATA!L49=1,1,0)</f>
        <v>0</v>
      </c>
      <c r="N46" s="3">
        <f>IF(CATA!M49=1,1,0)</f>
        <v>0</v>
      </c>
      <c r="O46" s="3">
        <f>IF(CATA!N49=1,1,0)</f>
        <v>0</v>
      </c>
      <c r="P46" s="3">
        <f>IF(CATA!O49=1,1,0)</f>
        <v>1</v>
      </c>
      <c r="Q46" s="3">
        <f>IF(CATA!P49=1,1,0)</f>
        <v>0</v>
      </c>
      <c r="R46" s="3">
        <f>IF(CATA!Q49=1,1,0)</f>
        <v>0</v>
      </c>
      <c r="S46" s="3">
        <f>IF(CATA!R49=1,1,0)</f>
        <v>0</v>
      </c>
      <c r="T46" s="3">
        <f>IF(CATA!S49=1,1,0)</f>
        <v>0</v>
      </c>
      <c r="U46" s="3">
        <f>IF(CATA!T49=1,1,0)</f>
        <v>0</v>
      </c>
      <c r="V46" s="3">
        <f>IF(CATA!U49=1,1,0)</f>
        <v>0</v>
      </c>
      <c r="W46" s="3">
        <f>IF(CATA!V49=1,1,0)</f>
        <v>1</v>
      </c>
      <c r="X46" s="3">
        <f>IF(CATA!W49=1,1,0)</f>
        <v>0</v>
      </c>
      <c r="Y46" s="3">
        <f>IF(CATA!X49=1,1,0)</f>
        <v>1</v>
      </c>
      <c r="Z46" s="3">
        <f>IF(CATA!Y49=1,1,0)</f>
        <v>0</v>
      </c>
      <c r="AA46" s="3">
        <f>IF(CATA!Z49=1,1,0)</f>
        <v>1</v>
      </c>
      <c r="AB46" s="3">
        <f>IF(CATA!AA49=1,1,0)</f>
        <v>0</v>
      </c>
      <c r="AC46" s="3">
        <f>IF(CATA!AB49=1,1,0)</f>
        <v>0</v>
      </c>
      <c r="AD46" s="3">
        <f>IF(CATA!AC49=1,1,0)</f>
        <v>0</v>
      </c>
      <c r="AE46" s="3">
        <f>IF(CATA!AD49=1,1,0)</f>
        <v>1</v>
      </c>
      <c r="AF46" s="3">
        <f>IF(CATA!AE49=1,1,0)</f>
        <v>0</v>
      </c>
      <c r="AG46" s="3">
        <f>IF(CATA!AF49=1,1,0)</f>
        <v>0</v>
      </c>
    </row>
    <row r="47" spans="1:33" ht="15" customHeight="1" x14ac:dyDescent="0.2">
      <c r="A47" s="3" t="str">
        <f>CATA!A50</f>
        <v>P23</v>
      </c>
      <c r="B47" s="3">
        <f>CATA!C50</f>
        <v>2</v>
      </c>
      <c r="C47" s="3" t="str">
        <f>CATA!D50</f>
        <v>381</v>
      </c>
      <c r="D47" s="3" t="str">
        <f>IF(C47=Setup!$B$5,Setup!$C$5,Setup!$C$6)</f>
        <v>Robusta Temanggung (dark roast)</v>
      </c>
      <c r="E47" s="3">
        <f>IF(COUNTA(CATA!E50:AF50)&gt;0,1,0)</f>
        <v>1</v>
      </c>
      <c r="F47" s="3">
        <f>IF(CATA!E50=1,1,0)</f>
        <v>0</v>
      </c>
      <c r="G47" s="3">
        <f>IF(CATA!F50=1,1,0)</f>
        <v>0</v>
      </c>
      <c r="H47" s="3">
        <f>IF(CATA!G50=1,1,0)</f>
        <v>0</v>
      </c>
      <c r="I47" s="3">
        <f>IF(CATA!H50=1,1,0)</f>
        <v>0</v>
      </c>
      <c r="J47" s="3">
        <f>IF(CATA!I50=1,1,0)</f>
        <v>0</v>
      </c>
      <c r="K47" s="3">
        <f>IF(CATA!J50=1,1,0)</f>
        <v>1</v>
      </c>
      <c r="L47" s="3">
        <f>IF(CATA!K50=1,1,0)</f>
        <v>1</v>
      </c>
      <c r="M47" s="3">
        <f>IF(CATA!L50=1,1,0)</f>
        <v>1</v>
      </c>
      <c r="N47" s="3">
        <f>IF(CATA!M50=1,1,0)</f>
        <v>0</v>
      </c>
      <c r="O47" s="3">
        <f>IF(CATA!N50=1,1,0)</f>
        <v>0</v>
      </c>
      <c r="P47" s="3">
        <f>IF(CATA!O50=1,1,0)</f>
        <v>0</v>
      </c>
      <c r="Q47" s="3">
        <f>IF(CATA!P50=1,1,0)</f>
        <v>0</v>
      </c>
      <c r="R47" s="3">
        <f>IF(CATA!Q50=1,1,0)</f>
        <v>0</v>
      </c>
      <c r="S47" s="3">
        <f>IF(CATA!R50=1,1,0)</f>
        <v>0</v>
      </c>
      <c r="T47" s="3">
        <f>IF(CATA!S50=1,1,0)</f>
        <v>0</v>
      </c>
      <c r="U47" s="3">
        <f>IF(CATA!T50=1,1,0)</f>
        <v>0</v>
      </c>
      <c r="V47" s="3">
        <f>IF(CATA!U50=1,1,0)</f>
        <v>0</v>
      </c>
      <c r="W47" s="3">
        <f>IF(CATA!V50=1,1,0)</f>
        <v>1</v>
      </c>
      <c r="X47" s="3">
        <f>IF(CATA!W50=1,1,0)</f>
        <v>0</v>
      </c>
      <c r="Y47" s="3">
        <f>IF(CATA!X50=1,1,0)</f>
        <v>0</v>
      </c>
      <c r="Z47" s="3">
        <f>IF(CATA!Y50=1,1,0)</f>
        <v>0</v>
      </c>
      <c r="AA47" s="3">
        <f>IF(CATA!Z50=1,1,0)</f>
        <v>1</v>
      </c>
      <c r="AB47" s="3">
        <f>IF(CATA!AA50=1,1,0)</f>
        <v>0</v>
      </c>
      <c r="AC47" s="3">
        <f>IF(CATA!AB50=1,1,0)</f>
        <v>1</v>
      </c>
      <c r="AD47" s="3">
        <f>IF(CATA!AC50=1,1,0)</f>
        <v>0</v>
      </c>
      <c r="AE47" s="3">
        <f>IF(CATA!AD50=1,1,0)</f>
        <v>0</v>
      </c>
      <c r="AF47" s="3">
        <f>IF(CATA!AE50=1,1,0)</f>
        <v>1</v>
      </c>
      <c r="AG47" s="3">
        <f>IF(CATA!AF50=1,1,0)</f>
        <v>0</v>
      </c>
    </row>
    <row r="48" spans="1:33" ht="15" customHeight="1" x14ac:dyDescent="0.2">
      <c r="A48" s="3" t="str">
        <f>CATA!A51</f>
        <v>P24</v>
      </c>
      <c r="B48" s="3">
        <f>CATA!C51</f>
        <v>1</v>
      </c>
      <c r="C48" s="3" t="str">
        <f>CATA!D51</f>
        <v>527</v>
      </c>
      <c r="D48" s="3" t="str">
        <f>IF(C48=Setup!$B$5,Setup!$C$5,Setup!$C$6)</f>
        <v>Ethiopia natural (light roast)</v>
      </c>
      <c r="E48" s="3">
        <f>IF(COUNTA(CATA!E51:AF51)&gt;0,1,0)</f>
        <v>1</v>
      </c>
      <c r="F48" s="3">
        <f>IF(CATA!E51=1,1,0)</f>
        <v>0</v>
      </c>
      <c r="G48" s="3">
        <f>IF(CATA!F51=1,1,0)</f>
        <v>1</v>
      </c>
      <c r="H48" s="3">
        <f>IF(CATA!G51=1,1,0)</f>
        <v>0</v>
      </c>
      <c r="I48" s="3">
        <f>IF(CATA!H51=1,1,0)</f>
        <v>0</v>
      </c>
      <c r="J48" s="3">
        <f>IF(CATA!I51=1,1,0)</f>
        <v>1</v>
      </c>
      <c r="K48" s="3">
        <f>IF(CATA!J51=1,1,0)</f>
        <v>1</v>
      </c>
      <c r="L48" s="3">
        <f>IF(CATA!K51=1,1,0)</f>
        <v>0</v>
      </c>
      <c r="M48" s="3">
        <f>IF(CATA!L51=1,1,0)</f>
        <v>0</v>
      </c>
      <c r="N48" s="3">
        <f>IF(CATA!M51=1,1,0)</f>
        <v>1</v>
      </c>
      <c r="O48" s="3">
        <f>IF(CATA!N51=1,1,0)</f>
        <v>0</v>
      </c>
      <c r="P48" s="3">
        <f>IF(CATA!O51=1,1,0)</f>
        <v>0</v>
      </c>
      <c r="Q48" s="3">
        <f>IF(CATA!P51=1,1,0)</f>
        <v>0</v>
      </c>
      <c r="R48" s="3">
        <f>IF(CATA!Q51=1,1,0)</f>
        <v>0</v>
      </c>
      <c r="S48" s="3">
        <f>IF(CATA!R51=1,1,0)</f>
        <v>0</v>
      </c>
      <c r="T48" s="3">
        <f>IF(CATA!S51=1,1,0)</f>
        <v>0</v>
      </c>
      <c r="U48" s="3">
        <f>IF(CATA!T51=1,1,0)</f>
        <v>1</v>
      </c>
      <c r="V48" s="3">
        <f>IF(CATA!U51=1,1,0)</f>
        <v>0</v>
      </c>
      <c r="W48" s="3">
        <f>IF(CATA!V51=1,1,0)</f>
        <v>1</v>
      </c>
      <c r="X48" s="3">
        <f>IF(CATA!W51=1,1,0)</f>
        <v>0</v>
      </c>
      <c r="Y48" s="3">
        <f>IF(CATA!X51=1,1,0)</f>
        <v>0</v>
      </c>
      <c r="Z48" s="3">
        <f>IF(CATA!Y51=1,1,0)</f>
        <v>0</v>
      </c>
      <c r="AA48" s="3">
        <f>IF(CATA!Z51=1,1,0)</f>
        <v>1</v>
      </c>
      <c r="AB48" s="3">
        <f>IF(CATA!AA51=1,1,0)</f>
        <v>0</v>
      </c>
      <c r="AC48" s="3">
        <f>IF(CATA!AB51=1,1,0)</f>
        <v>0</v>
      </c>
      <c r="AD48" s="3">
        <f>IF(CATA!AC51=1,1,0)</f>
        <v>0</v>
      </c>
      <c r="AE48" s="3">
        <f>IF(CATA!AD51=1,1,0)</f>
        <v>0</v>
      </c>
      <c r="AF48" s="3">
        <f>IF(CATA!AE51=1,1,0)</f>
        <v>0</v>
      </c>
      <c r="AG48" s="3">
        <f>IF(CATA!AF51=1,1,0)</f>
        <v>0</v>
      </c>
    </row>
    <row r="49" spans="1:33" ht="15" customHeight="1" x14ac:dyDescent="0.2">
      <c r="A49" s="3" t="str">
        <f>CATA!A52</f>
        <v>P24</v>
      </c>
      <c r="B49" s="3">
        <f>CATA!C52</f>
        <v>2</v>
      </c>
      <c r="C49" s="3" t="str">
        <f>CATA!D52</f>
        <v>381</v>
      </c>
      <c r="D49" s="3" t="str">
        <f>IF(C49=Setup!$B$5,Setup!$C$5,Setup!$C$6)</f>
        <v>Robusta Temanggung (dark roast)</v>
      </c>
      <c r="E49" s="3">
        <f>IF(COUNTA(CATA!E52:AF52)&gt;0,1,0)</f>
        <v>1</v>
      </c>
      <c r="F49" s="3">
        <f>IF(CATA!E52=1,1,0)</f>
        <v>0</v>
      </c>
      <c r="G49" s="3">
        <f>IF(CATA!F52=1,1,0)</f>
        <v>0</v>
      </c>
      <c r="H49" s="3">
        <f>IF(CATA!G52=1,1,0)</f>
        <v>0</v>
      </c>
      <c r="I49" s="3">
        <f>IF(CATA!H52=1,1,0)</f>
        <v>0</v>
      </c>
      <c r="J49" s="3">
        <f>IF(CATA!I52=1,1,0)</f>
        <v>1</v>
      </c>
      <c r="K49" s="3">
        <f>IF(CATA!J52=1,1,0)</f>
        <v>1</v>
      </c>
      <c r="L49" s="3">
        <f>IF(CATA!K52=1,1,0)</f>
        <v>1</v>
      </c>
      <c r="M49" s="3">
        <f>IF(CATA!L52=1,1,0)</f>
        <v>1</v>
      </c>
      <c r="N49" s="3">
        <f>IF(CATA!M52=1,1,0)</f>
        <v>0</v>
      </c>
      <c r="O49" s="3">
        <f>IF(CATA!N52=1,1,0)</f>
        <v>0</v>
      </c>
      <c r="P49" s="3">
        <f>IF(CATA!O52=1,1,0)</f>
        <v>0</v>
      </c>
      <c r="Q49" s="3">
        <f>IF(CATA!P52=1,1,0)</f>
        <v>0</v>
      </c>
      <c r="R49" s="3">
        <f>IF(CATA!Q52=1,1,0)</f>
        <v>0</v>
      </c>
      <c r="S49" s="3">
        <f>IF(CATA!R52=1,1,0)</f>
        <v>0</v>
      </c>
      <c r="T49" s="3">
        <f>IF(CATA!S52=1,1,0)</f>
        <v>1</v>
      </c>
      <c r="U49" s="3">
        <f>IF(CATA!T52=1,1,0)</f>
        <v>0</v>
      </c>
      <c r="V49" s="3">
        <f>IF(CATA!U52=1,1,0)</f>
        <v>0</v>
      </c>
      <c r="W49" s="3">
        <f>IF(CATA!V52=1,1,0)</f>
        <v>0</v>
      </c>
      <c r="X49" s="3">
        <f>IF(CATA!W52=1,1,0)</f>
        <v>0</v>
      </c>
      <c r="Y49" s="3">
        <f>IF(CATA!X52=1,1,0)</f>
        <v>0</v>
      </c>
      <c r="Z49" s="3">
        <f>IF(CATA!Y52=1,1,0)</f>
        <v>0</v>
      </c>
      <c r="AA49" s="3">
        <f>IF(CATA!Z52=1,1,0)</f>
        <v>1</v>
      </c>
      <c r="AB49" s="3">
        <f>IF(CATA!AA52=1,1,0)</f>
        <v>1</v>
      </c>
      <c r="AC49" s="3">
        <f>IF(CATA!AB52=1,1,0)</f>
        <v>1</v>
      </c>
      <c r="AD49" s="3">
        <f>IF(CATA!AC52=1,1,0)</f>
        <v>0</v>
      </c>
      <c r="AE49" s="3">
        <f>IF(CATA!AD52=1,1,0)</f>
        <v>0</v>
      </c>
      <c r="AF49" s="3">
        <f>IF(CATA!AE52=1,1,0)</f>
        <v>0</v>
      </c>
      <c r="AG49" s="3">
        <f>IF(CATA!AF52=1,1,0)</f>
        <v>0</v>
      </c>
    </row>
    <row r="50" spans="1:33" ht="15" customHeight="1" x14ac:dyDescent="0.2">
      <c r="A50" s="3" t="str">
        <f>CATA!A53</f>
        <v>P25</v>
      </c>
      <c r="B50" s="3">
        <f>CATA!C53</f>
        <v>1</v>
      </c>
      <c r="C50" s="3" t="str">
        <f>CATA!D53</f>
        <v>527</v>
      </c>
      <c r="D50" s="3" t="str">
        <f>IF(C50=Setup!$B$5,Setup!$C$5,Setup!$C$6)</f>
        <v>Ethiopia natural (light roast)</v>
      </c>
      <c r="E50" s="3">
        <f>IF(COUNTA(CATA!E53:AF53)&gt;0,1,0)</f>
        <v>1</v>
      </c>
      <c r="F50" s="3">
        <f>IF(CATA!E53=1,1,0)</f>
        <v>0</v>
      </c>
      <c r="G50" s="3">
        <f>IF(CATA!F53=1,1,0)</f>
        <v>1</v>
      </c>
      <c r="H50" s="3">
        <f>IF(CATA!G53=1,1,0)</f>
        <v>1</v>
      </c>
      <c r="I50" s="3">
        <f>IF(CATA!H53=1,1,0)</f>
        <v>0</v>
      </c>
      <c r="J50" s="3">
        <f>IF(CATA!I53=1,1,0)</f>
        <v>0</v>
      </c>
      <c r="K50" s="3">
        <f>IF(CATA!J53=1,1,0)</f>
        <v>0</v>
      </c>
      <c r="L50" s="3">
        <f>IF(CATA!K53=1,1,0)</f>
        <v>1</v>
      </c>
      <c r="M50" s="3">
        <f>IF(CATA!L53=1,1,0)</f>
        <v>0</v>
      </c>
      <c r="N50" s="3">
        <f>IF(CATA!M53=1,1,0)</f>
        <v>1</v>
      </c>
      <c r="O50" s="3">
        <f>IF(CATA!N53=1,1,0)</f>
        <v>1</v>
      </c>
      <c r="P50" s="3">
        <f>IF(CATA!O53=1,1,0)</f>
        <v>0</v>
      </c>
      <c r="Q50" s="3">
        <f>IF(CATA!P53=1,1,0)</f>
        <v>1</v>
      </c>
      <c r="R50" s="3">
        <f>IF(CATA!Q53=1,1,0)</f>
        <v>0</v>
      </c>
      <c r="S50" s="3">
        <f>IF(CATA!R53=1,1,0)</f>
        <v>0</v>
      </c>
      <c r="T50" s="3">
        <f>IF(CATA!S53=1,1,0)</f>
        <v>0</v>
      </c>
      <c r="U50" s="3">
        <f>IF(CATA!T53=1,1,0)</f>
        <v>0</v>
      </c>
      <c r="V50" s="3">
        <f>IF(CATA!U53=1,1,0)</f>
        <v>0</v>
      </c>
      <c r="W50" s="3">
        <f>IF(CATA!V53=1,1,0)</f>
        <v>1</v>
      </c>
      <c r="X50" s="3">
        <f>IF(CATA!W53=1,1,0)</f>
        <v>0</v>
      </c>
      <c r="Y50" s="3">
        <f>IF(CATA!X53=1,1,0)</f>
        <v>0</v>
      </c>
      <c r="Z50" s="3">
        <f>IF(CATA!Y53=1,1,0)</f>
        <v>1</v>
      </c>
      <c r="AA50" s="3">
        <f>IF(CATA!Z53=1,1,0)</f>
        <v>0</v>
      </c>
      <c r="AB50" s="3">
        <f>IF(CATA!AA53=1,1,0)</f>
        <v>0</v>
      </c>
      <c r="AC50" s="3">
        <f>IF(CATA!AB53=1,1,0)</f>
        <v>0</v>
      </c>
      <c r="AD50" s="3">
        <f>IF(CATA!AC53=1,1,0)</f>
        <v>1</v>
      </c>
      <c r="AE50" s="3">
        <f>IF(CATA!AD53=1,1,0)</f>
        <v>0</v>
      </c>
      <c r="AF50" s="3">
        <f>IF(CATA!AE53=1,1,0)</f>
        <v>0</v>
      </c>
      <c r="AG50" s="3">
        <f>IF(CATA!AF53=1,1,0)</f>
        <v>0</v>
      </c>
    </row>
    <row r="51" spans="1:33" ht="15" customHeight="1" x14ac:dyDescent="0.2">
      <c r="A51" s="3" t="str">
        <f>CATA!A54</f>
        <v>P25</v>
      </c>
      <c r="B51" s="3">
        <f>CATA!C54</f>
        <v>2</v>
      </c>
      <c r="C51" s="3" t="str">
        <f>CATA!D54</f>
        <v>381</v>
      </c>
      <c r="D51" s="3" t="str">
        <f>IF(C51=Setup!$B$5,Setup!$C$5,Setup!$C$6)</f>
        <v>Robusta Temanggung (dark roast)</v>
      </c>
      <c r="E51" s="3">
        <f>IF(COUNTA(CATA!E54:AF54)&gt;0,1,0)</f>
        <v>1</v>
      </c>
      <c r="F51" s="3">
        <f>IF(CATA!E54=1,1,0)</f>
        <v>0</v>
      </c>
      <c r="G51" s="3">
        <f>IF(CATA!F54=1,1,0)</f>
        <v>0</v>
      </c>
      <c r="H51" s="3">
        <f>IF(CATA!G54=1,1,0)</f>
        <v>0</v>
      </c>
      <c r="I51" s="3">
        <f>IF(CATA!H54=1,1,0)</f>
        <v>0</v>
      </c>
      <c r="J51" s="3">
        <f>IF(CATA!I54=1,1,0)</f>
        <v>0</v>
      </c>
      <c r="K51" s="3">
        <f>IF(CATA!J54=1,1,0)</f>
        <v>1</v>
      </c>
      <c r="L51" s="3">
        <f>IF(CATA!K54=1,1,0)</f>
        <v>1</v>
      </c>
      <c r="M51" s="3">
        <f>IF(CATA!L54=1,1,0)</f>
        <v>1</v>
      </c>
      <c r="N51" s="3">
        <f>IF(CATA!M54=1,1,0)</f>
        <v>0</v>
      </c>
      <c r="O51" s="3">
        <f>IF(CATA!N54=1,1,0)</f>
        <v>0</v>
      </c>
      <c r="P51" s="3">
        <f>IF(CATA!O54=1,1,0)</f>
        <v>0</v>
      </c>
      <c r="Q51" s="3">
        <f>IF(CATA!P54=1,1,0)</f>
        <v>0</v>
      </c>
      <c r="R51" s="3">
        <f>IF(CATA!Q54=1,1,0)</f>
        <v>0</v>
      </c>
      <c r="S51" s="3">
        <f>IF(CATA!R54=1,1,0)</f>
        <v>0</v>
      </c>
      <c r="T51" s="3">
        <f>IF(CATA!S54=1,1,0)</f>
        <v>1</v>
      </c>
      <c r="U51" s="3">
        <f>IF(CATA!T54=1,1,0)</f>
        <v>0</v>
      </c>
      <c r="V51" s="3">
        <f>IF(CATA!U54=1,1,0)</f>
        <v>0</v>
      </c>
      <c r="W51" s="3">
        <f>IF(CATA!V54=1,1,0)</f>
        <v>0</v>
      </c>
      <c r="X51" s="3">
        <f>IF(CATA!W54=1,1,0)</f>
        <v>0</v>
      </c>
      <c r="Y51" s="3">
        <f>IF(CATA!X54=1,1,0)</f>
        <v>0</v>
      </c>
      <c r="Z51" s="3">
        <f>IF(CATA!Y54=1,1,0)</f>
        <v>0</v>
      </c>
      <c r="AA51" s="3">
        <f>IF(CATA!Z54=1,1,0)</f>
        <v>1</v>
      </c>
      <c r="AB51" s="3">
        <f>IF(CATA!AA54=1,1,0)</f>
        <v>0</v>
      </c>
      <c r="AC51" s="3">
        <f>IF(CATA!AB54=1,1,0)</f>
        <v>1</v>
      </c>
      <c r="AD51" s="3">
        <f>IF(CATA!AC54=1,1,0)</f>
        <v>0</v>
      </c>
      <c r="AE51" s="3">
        <f>IF(CATA!AD54=1,1,0)</f>
        <v>0</v>
      </c>
      <c r="AF51" s="3">
        <f>IF(CATA!AE54=1,1,0)</f>
        <v>0</v>
      </c>
      <c r="AG51" s="3">
        <f>IF(CATA!AF54=1,1,0)</f>
        <v>0</v>
      </c>
    </row>
    <row r="52" spans="1:33" ht="15" customHeight="1" x14ac:dyDescent="0.2">
      <c r="A52" s="3" t="str">
        <f>CATA!A55</f>
        <v>P26</v>
      </c>
      <c r="B52" s="3">
        <f>CATA!C55</f>
        <v>1</v>
      </c>
      <c r="C52" s="3" t="str">
        <f>CATA!D55</f>
        <v>527</v>
      </c>
      <c r="D52" s="3" t="str">
        <f>IF(C52=Setup!$B$5,Setup!$C$5,Setup!$C$6)</f>
        <v>Ethiopia natural (light roast)</v>
      </c>
      <c r="E52" s="3">
        <f>IF(COUNTA(CATA!E55:AF55)&gt;0,1,0)</f>
        <v>1</v>
      </c>
      <c r="F52" s="3">
        <f>IF(CATA!E55=1,1,0)</f>
        <v>0</v>
      </c>
      <c r="G52" s="3">
        <f>IF(CATA!F55=1,1,0)</f>
        <v>1</v>
      </c>
      <c r="H52" s="3">
        <f>IF(CATA!G55=1,1,0)</f>
        <v>0</v>
      </c>
      <c r="I52" s="3">
        <f>IF(CATA!H55=1,1,0)</f>
        <v>0</v>
      </c>
      <c r="J52" s="3">
        <f>IF(CATA!I55=1,1,0)</f>
        <v>0</v>
      </c>
      <c r="K52" s="3">
        <f>IF(CATA!J55=1,1,0)</f>
        <v>0</v>
      </c>
      <c r="L52" s="3">
        <f>IF(CATA!K55=1,1,0)</f>
        <v>0</v>
      </c>
      <c r="M52" s="3">
        <f>IF(CATA!L55=1,1,0)</f>
        <v>1</v>
      </c>
      <c r="N52" s="3">
        <f>IF(CATA!M55=1,1,0)</f>
        <v>0</v>
      </c>
      <c r="O52" s="3">
        <f>IF(CATA!N55=1,1,0)</f>
        <v>0</v>
      </c>
      <c r="P52" s="3">
        <f>IF(CATA!O55=1,1,0)</f>
        <v>0</v>
      </c>
      <c r="Q52" s="3">
        <f>IF(CATA!P55=1,1,0)</f>
        <v>0</v>
      </c>
      <c r="R52" s="3">
        <f>IF(CATA!Q55=1,1,0)</f>
        <v>0</v>
      </c>
      <c r="S52" s="3">
        <f>IF(CATA!R55=1,1,0)</f>
        <v>0</v>
      </c>
      <c r="T52" s="3">
        <f>IF(CATA!S55=1,1,0)</f>
        <v>0</v>
      </c>
      <c r="U52" s="3">
        <f>IF(CATA!T55=1,1,0)</f>
        <v>0</v>
      </c>
      <c r="V52" s="3">
        <f>IF(CATA!U55=1,1,0)</f>
        <v>1</v>
      </c>
      <c r="W52" s="3">
        <f>IF(CATA!V55=1,1,0)</f>
        <v>0</v>
      </c>
      <c r="X52" s="3">
        <f>IF(CATA!W55=1,1,0)</f>
        <v>0</v>
      </c>
      <c r="Y52" s="3">
        <f>IF(CATA!X55=1,1,0)</f>
        <v>1</v>
      </c>
      <c r="Z52" s="3">
        <f>IF(CATA!Y55=1,1,0)</f>
        <v>0</v>
      </c>
      <c r="AA52" s="3">
        <f>IF(CATA!Z55=1,1,0)</f>
        <v>1</v>
      </c>
      <c r="AB52" s="3">
        <f>IF(CATA!AA55=1,1,0)</f>
        <v>0</v>
      </c>
      <c r="AC52" s="3">
        <f>IF(CATA!AB55=1,1,0)</f>
        <v>0</v>
      </c>
      <c r="AD52" s="3">
        <f>IF(CATA!AC55=1,1,0)</f>
        <v>0</v>
      </c>
      <c r="AE52" s="3">
        <f>IF(CATA!AD55=1,1,0)</f>
        <v>1</v>
      </c>
      <c r="AF52" s="3">
        <f>IF(CATA!AE55=1,1,0)</f>
        <v>0</v>
      </c>
      <c r="AG52" s="3">
        <f>IF(CATA!AF55=1,1,0)</f>
        <v>0</v>
      </c>
    </row>
    <row r="53" spans="1:33" ht="15" customHeight="1" x14ac:dyDescent="0.2">
      <c r="A53" s="3" t="str">
        <f>CATA!A56</f>
        <v>P26</v>
      </c>
      <c r="B53" s="3">
        <f>CATA!C56</f>
        <v>2</v>
      </c>
      <c r="C53" s="3" t="str">
        <f>CATA!D56</f>
        <v>381</v>
      </c>
      <c r="D53" s="3" t="str">
        <f>IF(C53=Setup!$B$5,Setup!$C$5,Setup!$C$6)</f>
        <v>Robusta Temanggung (dark roast)</v>
      </c>
      <c r="E53" s="3">
        <f>IF(COUNTA(CATA!E56:AF56)&gt;0,1,0)</f>
        <v>1</v>
      </c>
      <c r="F53" s="3">
        <f>IF(CATA!E56=1,1,0)</f>
        <v>1</v>
      </c>
      <c r="G53" s="3">
        <f>IF(CATA!F56=1,1,0)</f>
        <v>0</v>
      </c>
      <c r="H53" s="3">
        <f>IF(CATA!G56=1,1,0)</f>
        <v>0</v>
      </c>
      <c r="I53" s="3">
        <f>IF(CATA!H56=1,1,0)</f>
        <v>0</v>
      </c>
      <c r="J53" s="3">
        <f>IF(CATA!I56=1,1,0)</f>
        <v>0</v>
      </c>
      <c r="K53" s="3">
        <f>IF(CATA!J56=1,1,0)</f>
        <v>1</v>
      </c>
      <c r="L53" s="3">
        <f>IF(CATA!K56=1,1,0)</f>
        <v>1</v>
      </c>
      <c r="M53" s="3">
        <f>IF(CATA!L56=1,1,0)</f>
        <v>1</v>
      </c>
      <c r="N53" s="3">
        <f>IF(CATA!M56=1,1,0)</f>
        <v>0</v>
      </c>
      <c r="O53" s="3">
        <f>IF(CATA!N56=1,1,0)</f>
        <v>0</v>
      </c>
      <c r="P53" s="3">
        <f>IF(CATA!O56=1,1,0)</f>
        <v>0</v>
      </c>
      <c r="Q53" s="3">
        <f>IF(CATA!P56=1,1,0)</f>
        <v>0</v>
      </c>
      <c r="R53" s="3">
        <f>IF(CATA!Q56=1,1,0)</f>
        <v>1</v>
      </c>
      <c r="S53" s="3">
        <f>IF(CATA!R56=1,1,0)</f>
        <v>0</v>
      </c>
      <c r="T53" s="3">
        <f>IF(CATA!S56=1,1,0)</f>
        <v>1</v>
      </c>
      <c r="U53" s="3">
        <f>IF(CATA!T56=1,1,0)</f>
        <v>0</v>
      </c>
      <c r="V53" s="3">
        <f>IF(CATA!U56=1,1,0)</f>
        <v>1</v>
      </c>
      <c r="W53" s="3">
        <f>IF(CATA!V56=1,1,0)</f>
        <v>1</v>
      </c>
      <c r="X53" s="3">
        <f>IF(CATA!W56=1,1,0)</f>
        <v>0</v>
      </c>
      <c r="Y53" s="3">
        <f>IF(CATA!X56=1,1,0)</f>
        <v>0</v>
      </c>
      <c r="Z53" s="3">
        <f>IF(CATA!Y56=1,1,0)</f>
        <v>0</v>
      </c>
      <c r="AA53" s="3">
        <f>IF(CATA!Z56=1,1,0)</f>
        <v>1</v>
      </c>
      <c r="AB53" s="3">
        <f>IF(CATA!AA56=1,1,0)</f>
        <v>1</v>
      </c>
      <c r="AC53" s="3">
        <f>IF(CATA!AB56=1,1,0)</f>
        <v>0</v>
      </c>
      <c r="AD53" s="3">
        <f>IF(CATA!AC56=1,1,0)</f>
        <v>1</v>
      </c>
      <c r="AE53" s="3">
        <f>IF(CATA!AD56=1,1,0)</f>
        <v>0</v>
      </c>
      <c r="AF53" s="3">
        <f>IF(CATA!AE56=1,1,0)</f>
        <v>0</v>
      </c>
      <c r="AG53" s="3">
        <f>IF(CATA!AF56=1,1,0)</f>
        <v>0</v>
      </c>
    </row>
    <row r="54" spans="1:33" ht="15" customHeight="1" x14ac:dyDescent="0.2">
      <c r="A54" s="3" t="str">
        <f>CATA!A57</f>
        <v>P27</v>
      </c>
      <c r="B54" s="3">
        <f>CATA!C57</f>
        <v>1</v>
      </c>
      <c r="C54" s="3" t="str">
        <f>CATA!D57</f>
        <v>527</v>
      </c>
      <c r="D54" s="3" t="str">
        <f>IF(C54=Setup!$B$5,Setup!$C$5,Setup!$C$6)</f>
        <v>Ethiopia natural (light roast)</v>
      </c>
      <c r="E54" s="3">
        <f>IF(COUNTA(CATA!E57:AF57)&gt;0,1,0)</f>
        <v>1</v>
      </c>
      <c r="F54" s="3">
        <f>IF(CATA!E57=1,1,0)</f>
        <v>0</v>
      </c>
      <c r="G54" s="3">
        <f>IF(CATA!F57=1,1,0)</f>
        <v>1</v>
      </c>
      <c r="H54" s="3">
        <f>IF(CATA!G57=1,1,0)</f>
        <v>1</v>
      </c>
      <c r="I54" s="3">
        <f>IF(CATA!H57=1,1,0)</f>
        <v>0</v>
      </c>
      <c r="J54" s="3">
        <f>IF(CATA!I57=1,1,0)</f>
        <v>0</v>
      </c>
      <c r="K54" s="3">
        <f>IF(CATA!J57=1,1,0)</f>
        <v>0</v>
      </c>
      <c r="L54" s="3">
        <f>IF(CATA!K57=1,1,0)</f>
        <v>0</v>
      </c>
      <c r="M54" s="3">
        <f>IF(CATA!L57=1,1,0)</f>
        <v>0</v>
      </c>
      <c r="N54" s="3">
        <f>IF(CATA!M57=1,1,0)</f>
        <v>1</v>
      </c>
      <c r="O54" s="3">
        <f>IF(CATA!N57=1,1,0)</f>
        <v>0</v>
      </c>
      <c r="P54" s="3">
        <f>IF(CATA!O57=1,1,0)</f>
        <v>1</v>
      </c>
      <c r="Q54" s="3">
        <f>IF(CATA!P57=1,1,0)</f>
        <v>0</v>
      </c>
      <c r="R54" s="3">
        <f>IF(CATA!Q57=1,1,0)</f>
        <v>0</v>
      </c>
      <c r="S54" s="3">
        <f>IF(CATA!R57=1,1,0)</f>
        <v>0</v>
      </c>
      <c r="T54" s="3">
        <f>IF(CATA!S57=1,1,0)</f>
        <v>0</v>
      </c>
      <c r="U54" s="3">
        <f>IF(CATA!T57=1,1,0)</f>
        <v>0</v>
      </c>
      <c r="V54" s="3">
        <f>IF(CATA!U57=1,1,0)</f>
        <v>0</v>
      </c>
      <c r="W54" s="3">
        <f>IF(CATA!V57=1,1,0)</f>
        <v>1</v>
      </c>
      <c r="X54" s="3">
        <f>IF(CATA!W57=1,1,0)</f>
        <v>0</v>
      </c>
      <c r="Y54" s="3">
        <f>IF(CATA!X57=1,1,0)</f>
        <v>1</v>
      </c>
      <c r="Z54" s="3">
        <f>IF(CATA!Y57=1,1,0)</f>
        <v>1</v>
      </c>
      <c r="AA54" s="3">
        <f>IF(CATA!Z57=1,1,0)</f>
        <v>0</v>
      </c>
      <c r="AB54" s="3">
        <f>IF(CATA!AA57=1,1,0)</f>
        <v>0</v>
      </c>
      <c r="AC54" s="3">
        <f>IF(CATA!AB57=1,1,0)</f>
        <v>0</v>
      </c>
      <c r="AD54" s="3">
        <f>IF(CATA!AC57=1,1,0)</f>
        <v>0</v>
      </c>
      <c r="AE54" s="3">
        <f>IF(CATA!AD57=1,1,0)</f>
        <v>1</v>
      </c>
      <c r="AF54" s="3">
        <f>IF(CATA!AE57=1,1,0)</f>
        <v>0</v>
      </c>
      <c r="AG54" s="3">
        <f>IF(CATA!AF57=1,1,0)</f>
        <v>0</v>
      </c>
    </row>
    <row r="55" spans="1:33" ht="15" customHeight="1" x14ac:dyDescent="0.2">
      <c r="A55" s="3" t="str">
        <f>CATA!A58</f>
        <v>P27</v>
      </c>
      <c r="B55" s="3">
        <f>CATA!C58</f>
        <v>2</v>
      </c>
      <c r="C55" s="3" t="str">
        <f>CATA!D58</f>
        <v>381</v>
      </c>
      <c r="D55" s="3" t="str">
        <f>IF(C55=Setup!$B$5,Setup!$C$5,Setup!$C$6)</f>
        <v>Robusta Temanggung (dark roast)</v>
      </c>
      <c r="E55" s="3">
        <f>IF(COUNTA(CATA!E58:AF58)&gt;0,1,0)</f>
        <v>1</v>
      </c>
      <c r="F55" s="3">
        <f>IF(CATA!E58=1,1,0)</f>
        <v>0</v>
      </c>
      <c r="G55" s="3">
        <f>IF(CATA!F58=1,1,0)</f>
        <v>0</v>
      </c>
      <c r="H55" s="3">
        <f>IF(CATA!G58=1,1,0)</f>
        <v>0</v>
      </c>
      <c r="I55" s="3">
        <f>IF(CATA!H58=1,1,0)</f>
        <v>0</v>
      </c>
      <c r="J55" s="3">
        <f>IF(CATA!I58=1,1,0)</f>
        <v>0</v>
      </c>
      <c r="K55" s="3">
        <f>IF(CATA!J58=1,1,0)</f>
        <v>1</v>
      </c>
      <c r="L55" s="3">
        <f>IF(CATA!K58=1,1,0)</f>
        <v>1</v>
      </c>
      <c r="M55" s="3">
        <f>IF(CATA!L58=1,1,0)</f>
        <v>0</v>
      </c>
      <c r="N55" s="3">
        <f>IF(CATA!M58=1,1,0)</f>
        <v>0</v>
      </c>
      <c r="O55" s="3">
        <f>IF(CATA!N58=1,1,0)</f>
        <v>0</v>
      </c>
      <c r="P55" s="3">
        <f>IF(CATA!O58=1,1,0)</f>
        <v>0</v>
      </c>
      <c r="Q55" s="3">
        <f>IF(CATA!P58=1,1,0)</f>
        <v>0</v>
      </c>
      <c r="R55" s="3">
        <f>IF(CATA!Q58=1,1,0)</f>
        <v>0</v>
      </c>
      <c r="S55" s="3">
        <f>IF(CATA!R58=1,1,0)</f>
        <v>0</v>
      </c>
      <c r="T55" s="3">
        <f>IF(CATA!S58=1,1,0)</f>
        <v>1</v>
      </c>
      <c r="U55" s="3">
        <f>IF(CATA!T58=1,1,0)</f>
        <v>0</v>
      </c>
      <c r="V55" s="3">
        <f>IF(CATA!U58=1,1,0)</f>
        <v>0</v>
      </c>
      <c r="W55" s="3">
        <f>IF(CATA!V58=1,1,0)</f>
        <v>0</v>
      </c>
      <c r="X55" s="3">
        <f>IF(CATA!W58=1,1,0)</f>
        <v>0</v>
      </c>
      <c r="Y55" s="3">
        <f>IF(CATA!X58=1,1,0)</f>
        <v>0</v>
      </c>
      <c r="Z55" s="3">
        <f>IF(CATA!Y58=1,1,0)</f>
        <v>0</v>
      </c>
      <c r="AA55" s="3">
        <f>IF(CATA!Z58=1,1,0)</f>
        <v>1</v>
      </c>
      <c r="AB55" s="3">
        <f>IF(CATA!AA58=1,1,0)</f>
        <v>0</v>
      </c>
      <c r="AC55" s="3">
        <f>IF(CATA!AB58=1,1,0)</f>
        <v>1</v>
      </c>
      <c r="AD55" s="3">
        <f>IF(CATA!AC58=1,1,0)</f>
        <v>0</v>
      </c>
      <c r="AE55" s="3">
        <f>IF(CATA!AD58=1,1,0)</f>
        <v>0</v>
      </c>
      <c r="AF55" s="3">
        <f>IF(CATA!AE58=1,1,0)</f>
        <v>1</v>
      </c>
      <c r="AG55" s="3">
        <f>IF(CATA!AF58=1,1,0)</f>
        <v>0</v>
      </c>
    </row>
    <row r="56" spans="1:33" ht="15" customHeight="1" x14ac:dyDescent="0.2">
      <c r="A56" s="3" t="str">
        <f>CATA!A59</f>
        <v>P28</v>
      </c>
      <c r="B56" s="3">
        <f>CATA!C59</f>
        <v>1</v>
      </c>
      <c r="C56" s="3" t="str">
        <f>CATA!D59</f>
        <v>527</v>
      </c>
      <c r="D56" s="3" t="str">
        <f>IF(C56=Setup!$B$5,Setup!$C$5,Setup!$C$6)</f>
        <v>Ethiopia natural (light roast)</v>
      </c>
      <c r="E56" s="3">
        <f>IF(COUNTA(CATA!E59:AF59)&gt;0,1,0)</f>
        <v>1</v>
      </c>
      <c r="F56" s="3">
        <f>IF(CATA!E59=1,1,0)</f>
        <v>1</v>
      </c>
      <c r="G56" s="3">
        <f>IF(CATA!F59=1,1,0)</f>
        <v>1</v>
      </c>
      <c r="H56" s="3">
        <f>IF(CATA!G59=1,1,0)</f>
        <v>0</v>
      </c>
      <c r="I56" s="3">
        <f>IF(CATA!H59=1,1,0)</f>
        <v>0</v>
      </c>
      <c r="J56" s="3">
        <f>IF(CATA!I59=1,1,0)</f>
        <v>0</v>
      </c>
      <c r="K56" s="3">
        <f>IF(CATA!J59=1,1,0)</f>
        <v>0</v>
      </c>
      <c r="L56" s="3">
        <f>IF(CATA!K59=1,1,0)</f>
        <v>0</v>
      </c>
      <c r="M56" s="3">
        <f>IF(CATA!L59=1,1,0)</f>
        <v>0</v>
      </c>
      <c r="N56" s="3">
        <f>IF(CATA!M59=1,1,0)</f>
        <v>1</v>
      </c>
      <c r="O56" s="3">
        <f>IF(CATA!N59=1,1,0)</f>
        <v>0</v>
      </c>
      <c r="P56" s="3">
        <f>IF(CATA!O59=1,1,0)</f>
        <v>1</v>
      </c>
      <c r="Q56" s="3">
        <f>IF(CATA!P59=1,1,0)</f>
        <v>1</v>
      </c>
      <c r="R56" s="3">
        <f>IF(CATA!Q59=1,1,0)</f>
        <v>0</v>
      </c>
      <c r="S56" s="3">
        <f>IF(CATA!R59=1,1,0)</f>
        <v>0</v>
      </c>
      <c r="T56" s="3">
        <f>IF(CATA!S59=1,1,0)</f>
        <v>0</v>
      </c>
      <c r="U56" s="3">
        <f>IF(CATA!T59=1,1,0)</f>
        <v>0</v>
      </c>
      <c r="V56" s="3">
        <f>IF(CATA!U59=1,1,0)</f>
        <v>0</v>
      </c>
      <c r="W56" s="3">
        <f>IF(CATA!V59=1,1,0)</f>
        <v>0</v>
      </c>
      <c r="X56" s="3">
        <f>IF(CATA!W59=1,1,0)</f>
        <v>0</v>
      </c>
      <c r="Y56" s="3">
        <f>IF(CATA!X59=1,1,0)</f>
        <v>1</v>
      </c>
      <c r="Z56" s="3">
        <f>IF(CATA!Y59=1,1,0)</f>
        <v>1</v>
      </c>
      <c r="AA56" s="3">
        <f>IF(CATA!Z59=1,1,0)</f>
        <v>0</v>
      </c>
      <c r="AB56" s="3">
        <f>IF(CATA!AA59=1,1,0)</f>
        <v>0</v>
      </c>
      <c r="AC56" s="3">
        <f>IF(CATA!AB59=1,1,0)</f>
        <v>0</v>
      </c>
      <c r="AD56" s="3">
        <f>IF(CATA!AC59=1,1,0)</f>
        <v>0</v>
      </c>
      <c r="AE56" s="3">
        <f>IF(CATA!AD59=1,1,0)</f>
        <v>1</v>
      </c>
      <c r="AF56" s="3">
        <f>IF(CATA!AE59=1,1,0)</f>
        <v>0</v>
      </c>
      <c r="AG56" s="3">
        <f>IF(CATA!AF59=1,1,0)</f>
        <v>0</v>
      </c>
    </row>
    <row r="57" spans="1:33" ht="15" customHeight="1" x14ac:dyDescent="0.2">
      <c r="A57" s="3" t="str">
        <f>CATA!A60</f>
        <v>P28</v>
      </c>
      <c r="B57" s="3">
        <f>CATA!C60</f>
        <v>2</v>
      </c>
      <c r="C57" s="3" t="str">
        <f>CATA!D60</f>
        <v>381</v>
      </c>
      <c r="D57" s="3" t="str">
        <f>IF(C57=Setup!$B$5,Setup!$C$5,Setup!$C$6)</f>
        <v>Robusta Temanggung (dark roast)</v>
      </c>
      <c r="E57" s="3">
        <f>IF(COUNTA(CATA!E60:AF60)&gt;0,1,0)</f>
        <v>1</v>
      </c>
      <c r="F57" s="3">
        <f>IF(CATA!E60=1,1,0)</f>
        <v>0</v>
      </c>
      <c r="G57" s="3">
        <f>IF(CATA!F60=1,1,0)</f>
        <v>1</v>
      </c>
      <c r="H57" s="3">
        <f>IF(CATA!G60=1,1,0)</f>
        <v>0</v>
      </c>
      <c r="I57" s="3">
        <f>IF(CATA!H60=1,1,0)</f>
        <v>0</v>
      </c>
      <c r="J57" s="3">
        <f>IF(CATA!I60=1,1,0)</f>
        <v>0</v>
      </c>
      <c r="K57" s="3">
        <f>IF(CATA!J60=1,1,0)</f>
        <v>1</v>
      </c>
      <c r="L57" s="3">
        <f>IF(CATA!K60=1,1,0)</f>
        <v>0</v>
      </c>
      <c r="M57" s="3">
        <f>IF(CATA!L60=1,1,0)</f>
        <v>0</v>
      </c>
      <c r="N57" s="3">
        <f>IF(CATA!M60=1,1,0)</f>
        <v>0</v>
      </c>
      <c r="O57" s="3">
        <f>IF(CATA!N60=1,1,0)</f>
        <v>0</v>
      </c>
      <c r="P57" s="3">
        <f>IF(CATA!O60=1,1,0)</f>
        <v>0</v>
      </c>
      <c r="Q57" s="3">
        <f>IF(CATA!P60=1,1,0)</f>
        <v>0</v>
      </c>
      <c r="R57" s="3">
        <f>IF(CATA!Q60=1,1,0)</f>
        <v>0</v>
      </c>
      <c r="S57" s="3">
        <f>IF(CATA!R60=1,1,0)</f>
        <v>0</v>
      </c>
      <c r="T57" s="3">
        <f>IF(CATA!S60=1,1,0)</f>
        <v>1</v>
      </c>
      <c r="U57" s="3">
        <f>IF(CATA!T60=1,1,0)</f>
        <v>1</v>
      </c>
      <c r="V57" s="3">
        <f>IF(CATA!U60=1,1,0)</f>
        <v>0</v>
      </c>
      <c r="W57" s="3">
        <f>IF(CATA!V60=1,1,0)</f>
        <v>0</v>
      </c>
      <c r="X57" s="3">
        <f>IF(CATA!W60=1,1,0)</f>
        <v>0</v>
      </c>
      <c r="Y57" s="3">
        <f>IF(CATA!X60=1,1,0)</f>
        <v>0</v>
      </c>
      <c r="Z57" s="3">
        <f>IF(CATA!Y60=1,1,0)</f>
        <v>0</v>
      </c>
      <c r="AA57" s="3">
        <f>IF(CATA!Z60=1,1,0)</f>
        <v>1</v>
      </c>
      <c r="AB57" s="3">
        <f>IF(CATA!AA60=1,1,0)</f>
        <v>0</v>
      </c>
      <c r="AC57" s="3">
        <f>IF(CATA!AB60=1,1,0)</f>
        <v>1</v>
      </c>
      <c r="AD57" s="3">
        <f>IF(CATA!AC60=1,1,0)</f>
        <v>0</v>
      </c>
      <c r="AE57" s="3">
        <f>IF(CATA!AD60=1,1,0)</f>
        <v>0</v>
      </c>
      <c r="AF57" s="3">
        <f>IF(CATA!AE60=1,1,0)</f>
        <v>0</v>
      </c>
      <c r="AG57" s="3">
        <f>IF(CATA!AF60=1,1,0)</f>
        <v>0</v>
      </c>
    </row>
    <row r="58" spans="1:33" ht="15" customHeight="1" x14ac:dyDescent="0.2">
      <c r="A58" s="3" t="str">
        <f>CATA!A61</f>
        <v>P29</v>
      </c>
      <c r="B58" s="3">
        <f>CATA!C61</f>
        <v>1</v>
      </c>
      <c r="C58" s="3" t="str">
        <f>CATA!D61</f>
        <v>527</v>
      </c>
      <c r="D58" s="3" t="str">
        <f>IF(C58=Setup!$B$5,Setup!$C$5,Setup!$C$6)</f>
        <v>Ethiopia natural (light roast)</v>
      </c>
      <c r="E58" s="3">
        <f>IF(COUNTA(CATA!E61:AF61)&gt;0,1,0)</f>
        <v>1</v>
      </c>
      <c r="F58" s="3">
        <f>IF(CATA!E61=1,1,0)</f>
        <v>0</v>
      </c>
      <c r="G58" s="3">
        <f>IF(CATA!F61=1,1,0)</f>
        <v>1</v>
      </c>
      <c r="H58" s="3">
        <f>IF(CATA!G61=1,1,0)</f>
        <v>0</v>
      </c>
      <c r="I58" s="3">
        <f>IF(CATA!H61=1,1,0)</f>
        <v>0</v>
      </c>
      <c r="J58" s="3">
        <f>IF(CATA!I61=1,1,0)</f>
        <v>0</v>
      </c>
      <c r="K58" s="3">
        <f>IF(CATA!J61=1,1,0)</f>
        <v>1</v>
      </c>
      <c r="L58" s="3">
        <f>IF(CATA!K61=1,1,0)</f>
        <v>1</v>
      </c>
      <c r="M58" s="3">
        <f>IF(CATA!L61=1,1,0)</f>
        <v>0</v>
      </c>
      <c r="N58" s="3">
        <f>IF(CATA!M61=1,1,0)</f>
        <v>1</v>
      </c>
      <c r="O58" s="3">
        <f>IF(CATA!N61=1,1,0)</f>
        <v>0</v>
      </c>
      <c r="P58" s="3">
        <f>IF(CATA!O61=1,1,0)</f>
        <v>1</v>
      </c>
      <c r="Q58" s="3">
        <f>IF(CATA!P61=1,1,0)</f>
        <v>1</v>
      </c>
      <c r="R58" s="3">
        <f>IF(CATA!Q61=1,1,0)</f>
        <v>0</v>
      </c>
      <c r="S58" s="3">
        <f>IF(CATA!R61=1,1,0)</f>
        <v>0</v>
      </c>
      <c r="T58" s="3">
        <f>IF(CATA!S61=1,1,0)</f>
        <v>0</v>
      </c>
      <c r="U58" s="3">
        <f>IF(CATA!T61=1,1,0)</f>
        <v>0</v>
      </c>
      <c r="V58" s="3">
        <f>IF(CATA!U61=1,1,0)</f>
        <v>0</v>
      </c>
      <c r="W58" s="3">
        <f>IF(CATA!V61=1,1,0)</f>
        <v>0</v>
      </c>
      <c r="X58" s="3">
        <f>IF(CATA!W61=1,1,0)</f>
        <v>0</v>
      </c>
      <c r="Y58" s="3">
        <f>IF(CATA!X61=1,1,0)</f>
        <v>0</v>
      </c>
      <c r="Z58" s="3">
        <f>IF(CATA!Y61=1,1,0)</f>
        <v>1</v>
      </c>
      <c r="AA58" s="3">
        <f>IF(CATA!Z61=1,1,0)</f>
        <v>0</v>
      </c>
      <c r="AB58" s="3">
        <f>IF(CATA!AA61=1,1,0)</f>
        <v>0</v>
      </c>
      <c r="AC58" s="3">
        <f>IF(CATA!AB61=1,1,0)</f>
        <v>0</v>
      </c>
      <c r="AD58" s="3">
        <f>IF(CATA!AC61=1,1,0)</f>
        <v>0</v>
      </c>
      <c r="AE58" s="3">
        <f>IF(CATA!AD61=1,1,0)</f>
        <v>1</v>
      </c>
      <c r="AF58" s="3">
        <f>IF(CATA!AE61=1,1,0)</f>
        <v>0</v>
      </c>
      <c r="AG58" s="3">
        <f>IF(CATA!AF61=1,1,0)</f>
        <v>0</v>
      </c>
    </row>
    <row r="59" spans="1:33" ht="15" customHeight="1" x14ac:dyDescent="0.2">
      <c r="A59" s="3" t="str">
        <f>CATA!A62</f>
        <v>P29</v>
      </c>
      <c r="B59" s="3">
        <f>CATA!C62</f>
        <v>2</v>
      </c>
      <c r="C59" s="3" t="str">
        <f>CATA!D62</f>
        <v>381</v>
      </c>
      <c r="D59" s="3" t="str">
        <f>IF(C59=Setup!$B$5,Setup!$C$5,Setup!$C$6)</f>
        <v>Robusta Temanggung (dark roast)</v>
      </c>
      <c r="E59" s="3">
        <f>IF(COUNTA(CATA!E62:AF62)&gt;0,1,0)</f>
        <v>1</v>
      </c>
      <c r="F59" s="3">
        <f>IF(CATA!E62=1,1,0)</f>
        <v>0</v>
      </c>
      <c r="G59" s="3">
        <f>IF(CATA!F62=1,1,0)</f>
        <v>0</v>
      </c>
      <c r="H59" s="3">
        <f>IF(CATA!G62=1,1,0)</f>
        <v>0</v>
      </c>
      <c r="I59" s="3">
        <f>IF(CATA!H62=1,1,0)</f>
        <v>0</v>
      </c>
      <c r="J59" s="3">
        <f>IF(CATA!I62=1,1,0)</f>
        <v>0</v>
      </c>
      <c r="K59" s="3">
        <f>IF(CATA!J62=1,1,0)</f>
        <v>1</v>
      </c>
      <c r="L59" s="3">
        <f>IF(CATA!K62=1,1,0)</f>
        <v>1</v>
      </c>
      <c r="M59" s="3">
        <f>IF(CATA!L62=1,1,0)</f>
        <v>1</v>
      </c>
      <c r="N59" s="3">
        <f>IF(CATA!M62=1,1,0)</f>
        <v>0</v>
      </c>
      <c r="O59" s="3">
        <f>IF(CATA!N62=1,1,0)</f>
        <v>0</v>
      </c>
      <c r="P59" s="3">
        <f>IF(CATA!O62=1,1,0)</f>
        <v>0</v>
      </c>
      <c r="Q59" s="3">
        <f>IF(CATA!P62=1,1,0)</f>
        <v>0</v>
      </c>
      <c r="R59" s="3">
        <f>IF(CATA!Q62=1,1,0)</f>
        <v>0</v>
      </c>
      <c r="S59" s="3">
        <f>IF(CATA!R62=1,1,0)</f>
        <v>1</v>
      </c>
      <c r="T59" s="3">
        <f>IF(CATA!S62=1,1,0)</f>
        <v>1</v>
      </c>
      <c r="U59" s="3">
        <f>IF(CATA!T62=1,1,0)</f>
        <v>1</v>
      </c>
      <c r="V59" s="3">
        <f>IF(CATA!U62=1,1,0)</f>
        <v>0</v>
      </c>
      <c r="W59" s="3">
        <f>IF(CATA!V62=1,1,0)</f>
        <v>0</v>
      </c>
      <c r="X59" s="3">
        <f>IF(CATA!W62=1,1,0)</f>
        <v>0</v>
      </c>
      <c r="Y59" s="3">
        <f>IF(CATA!X62=1,1,0)</f>
        <v>1</v>
      </c>
      <c r="Z59" s="3">
        <f>IF(CATA!Y62=1,1,0)</f>
        <v>0</v>
      </c>
      <c r="AA59" s="3">
        <f>IF(CATA!Z62=1,1,0)</f>
        <v>1</v>
      </c>
      <c r="AB59" s="3">
        <f>IF(CATA!AA62=1,1,0)</f>
        <v>0</v>
      </c>
      <c r="AC59" s="3">
        <f>IF(CATA!AB62=1,1,0)</f>
        <v>0</v>
      </c>
      <c r="AD59" s="3">
        <f>IF(CATA!AC62=1,1,0)</f>
        <v>1</v>
      </c>
      <c r="AE59" s="3">
        <f>IF(CATA!AD62=1,1,0)</f>
        <v>0</v>
      </c>
      <c r="AF59" s="3">
        <f>IF(CATA!AE62=1,1,0)</f>
        <v>1</v>
      </c>
      <c r="AG59" s="3">
        <f>IF(CATA!AF62=1,1,0)</f>
        <v>0</v>
      </c>
    </row>
    <row r="60" spans="1:33" ht="15" customHeight="1" x14ac:dyDescent="0.2">
      <c r="A60" s="3" t="str">
        <f>CATA!A63</f>
        <v>P30</v>
      </c>
      <c r="B60" s="3">
        <f>CATA!C63</f>
        <v>1</v>
      </c>
      <c r="C60" s="3" t="str">
        <f>CATA!D63</f>
        <v>527</v>
      </c>
      <c r="D60" s="3" t="str">
        <f>IF(C60=Setup!$B$5,Setup!$C$5,Setup!$C$6)</f>
        <v>Ethiopia natural (light roast)</v>
      </c>
      <c r="E60" s="3">
        <f>IF(COUNTA(CATA!E63:AF63)&gt;0,1,0)</f>
        <v>1</v>
      </c>
      <c r="F60" s="3">
        <f>IF(CATA!E63=1,1,0)</f>
        <v>1</v>
      </c>
      <c r="G60" s="3">
        <f>IF(CATA!F63=1,1,0)</f>
        <v>0</v>
      </c>
      <c r="H60" s="3">
        <f>IF(CATA!G63=1,1,0)</f>
        <v>1</v>
      </c>
      <c r="I60" s="3">
        <f>IF(CATA!H63=1,1,0)</f>
        <v>0</v>
      </c>
      <c r="J60" s="3">
        <f>IF(CATA!I63=1,1,0)</f>
        <v>0</v>
      </c>
      <c r="K60" s="3">
        <f>IF(CATA!J63=1,1,0)</f>
        <v>0</v>
      </c>
      <c r="L60" s="3">
        <f>IF(CATA!K63=1,1,0)</f>
        <v>0</v>
      </c>
      <c r="M60" s="3">
        <f>IF(CATA!L63=1,1,0)</f>
        <v>0</v>
      </c>
      <c r="N60" s="3">
        <f>IF(CATA!M63=1,1,0)</f>
        <v>0</v>
      </c>
      <c r="O60" s="3">
        <f>IF(CATA!N63=1,1,0)</f>
        <v>0</v>
      </c>
      <c r="P60" s="3">
        <f>IF(CATA!O63=1,1,0)</f>
        <v>1</v>
      </c>
      <c r="Q60" s="3">
        <f>IF(CATA!P63=1,1,0)</f>
        <v>0</v>
      </c>
      <c r="R60" s="3">
        <f>IF(CATA!Q63=1,1,0)</f>
        <v>0</v>
      </c>
      <c r="S60" s="3">
        <f>IF(CATA!R63=1,1,0)</f>
        <v>0</v>
      </c>
      <c r="T60" s="3">
        <f>IF(CATA!S63=1,1,0)</f>
        <v>1</v>
      </c>
      <c r="U60" s="3">
        <f>IF(CATA!T63=1,1,0)</f>
        <v>0</v>
      </c>
      <c r="V60" s="3">
        <f>IF(CATA!U63=1,1,0)</f>
        <v>0</v>
      </c>
      <c r="W60" s="3">
        <f>IF(CATA!V63=1,1,0)</f>
        <v>0</v>
      </c>
      <c r="X60" s="3">
        <f>IF(CATA!W63=1,1,0)</f>
        <v>0</v>
      </c>
      <c r="Y60" s="3">
        <f>IF(CATA!X63=1,1,0)</f>
        <v>1</v>
      </c>
      <c r="Z60" s="3">
        <f>IF(CATA!Y63=1,1,0)</f>
        <v>0</v>
      </c>
      <c r="AA60" s="3">
        <f>IF(CATA!Z63=1,1,0)</f>
        <v>0</v>
      </c>
      <c r="AB60" s="3">
        <f>IF(CATA!AA63=1,1,0)</f>
        <v>0</v>
      </c>
      <c r="AC60" s="3">
        <f>IF(CATA!AB63=1,1,0)</f>
        <v>0</v>
      </c>
      <c r="AD60" s="3">
        <f>IF(CATA!AC63=1,1,0)</f>
        <v>0</v>
      </c>
      <c r="AE60" s="3">
        <f>IF(CATA!AD63=1,1,0)</f>
        <v>0</v>
      </c>
      <c r="AF60" s="3">
        <f>IF(CATA!AE63=1,1,0)</f>
        <v>0</v>
      </c>
      <c r="AG60" s="3">
        <f>IF(CATA!AF63=1,1,0)</f>
        <v>0</v>
      </c>
    </row>
    <row r="61" spans="1:33" ht="15" customHeight="1" x14ac:dyDescent="0.2">
      <c r="A61" s="3" t="str">
        <f>CATA!A64</f>
        <v>P30</v>
      </c>
      <c r="B61" s="3">
        <f>CATA!C64</f>
        <v>2</v>
      </c>
      <c r="C61" s="3" t="str">
        <f>CATA!D64</f>
        <v>381</v>
      </c>
      <c r="D61" s="3" t="str">
        <f>IF(C61=Setup!$B$5,Setup!$C$5,Setup!$C$6)</f>
        <v>Robusta Temanggung (dark roast)</v>
      </c>
      <c r="E61" s="3">
        <f>IF(COUNTA(CATA!E64:AF64)&gt;0,1,0)</f>
        <v>1</v>
      </c>
      <c r="F61" s="3">
        <f>IF(CATA!E64=1,1,0)</f>
        <v>0</v>
      </c>
      <c r="G61" s="3">
        <f>IF(CATA!F64=1,1,0)</f>
        <v>1</v>
      </c>
      <c r="H61" s="3">
        <f>IF(CATA!G64=1,1,0)</f>
        <v>0</v>
      </c>
      <c r="I61" s="3">
        <f>IF(CATA!H64=1,1,0)</f>
        <v>0</v>
      </c>
      <c r="J61" s="3">
        <f>IF(CATA!I64=1,1,0)</f>
        <v>1</v>
      </c>
      <c r="K61" s="3">
        <f>IF(CATA!J64=1,1,0)</f>
        <v>1</v>
      </c>
      <c r="L61" s="3">
        <f>IF(CATA!K64=1,1,0)</f>
        <v>1</v>
      </c>
      <c r="M61" s="3">
        <f>IF(CATA!L64=1,1,0)</f>
        <v>1</v>
      </c>
      <c r="N61" s="3">
        <f>IF(CATA!M64=1,1,0)</f>
        <v>0</v>
      </c>
      <c r="O61" s="3">
        <f>IF(CATA!N64=1,1,0)</f>
        <v>0</v>
      </c>
      <c r="P61" s="3">
        <f>IF(CATA!O64=1,1,0)</f>
        <v>0</v>
      </c>
      <c r="Q61" s="3">
        <f>IF(CATA!P64=1,1,0)</f>
        <v>0</v>
      </c>
      <c r="R61" s="3">
        <f>IF(CATA!Q64=1,1,0)</f>
        <v>0</v>
      </c>
      <c r="S61" s="3">
        <f>IF(CATA!R64=1,1,0)</f>
        <v>0</v>
      </c>
      <c r="T61" s="3">
        <f>IF(CATA!S64=1,1,0)</f>
        <v>0</v>
      </c>
      <c r="U61" s="3">
        <f>IF(CATA!T64=1,1,0)</f>
        <v>1</v>
      </c>
      <c r="V61" s="3">
        <f>IF(CATA!U64=1,1,0)</f>
        <v>0</v>
      </c>
      <c r="W61" s="3">
        <f>IF(CATA!V64=1,1,0)</f>
        <v>0</v>
      </c>
      <c r="X61" s="3">
        <f>IF(CATA!W64=1,1,0)</f>
        <v>0</v>
      </c>
      <c r="Y61" s="3">
        <f>IF(CATA!X64=1,1,0)</f>
        <v>0</v>
      </c>
      <c r="Z61" s="3">
        <f>IF(CATA!Y64=1,1,0)</f>
        <v>0</v>
      </c>
      <c r="AA61" s="3">
        <f>IF(CATA!Z64=1,1,0)</f>
        <v>1</v>
      </c>
      <c r="AB61" s="3">
        <f>IF(CATA!AA64=1,1,0)</f>
        <v>0</v>
      </c>
      <c r="AC61" s="3">
        <f>IF(CATA!AB64=1,1,0)</f>
        <v>1</v>
      </c>
      <c r="AD61" s="3">
        <f>IF(CATA!AC64=1,1,0)</f>
        <v>0</v>
      </c>
      <c r="AE61" s="3">
        <f>IF(CATA!AD64=1,1,0)</f>
        <v>0</v>
      </c>
      <c r="AF61" s="3">
        <f>IF(CATA!AE64=1,1,0)</f>
        <v>0</v>
      </c>
      <c r="AG61" s="3">
        <f>IF(CATA!AF64=1,1,0)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1"/>
  <sheetViews>
    <sheetView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G62" sqref="G62"/>
    </sheetView>
  </sheetViews>
  <sheetFormatPr baseColWidth="10" defaultColWidth="8.6640625" defaultRowHeight="15" x14ac:dyDescent="0.2"/>
  <cols>
    <col min="1" max="12" width="12" customWidth="1"/>
  </cols>
  <sheetData>
    <row r="1" spans="1:12" ht="15" customHeight="1" x14ac:dyDescent="0.2">
      <c r="A1" s="17" t="s">
        <v>123</v>
      </c>
      <c r="B1" s="17" t="s">
        <v>76</v>
      </c>
      <c r="C1" s="17" t="s">
        <v>2</v>
      </c>
      <c r="D1" s="17" t="s">
        <v>124</v>
      </c>
      <c r="E1" s="17" t="s">
        <v>125</v>
      </c>
      <c r="F1" s="17" t="s">
        <v>82</v>
      </c>
      <c r="G1" s="17" t="s">
        <v>83</v>
      </c>
      <c r="H1" s="17" t="s">
        <v>84</v>
      </c>
      <c r="I1" s="17" t="s">
        <v>85</v>
      </c>
      <c r="J1" s="17" t="s">
        <v>86</v>
      </c>
      <c r="K1" s="17" t="s">
        <v>87</v>
      </c>
      <c r="L1" s="17" t="s">
        <v>88</v>
      </c>
    </row>
    <row r="2" spans="1:12" ht="15" customHeight="1" x14ac:dyDescent="0.2">
      <c r="A2" s="3" t="str">
        <f>Deskriptif!A5</f>
        <v>P01</v>
      </c>
      <c r="B2" s="3">
        <f>Deskriptif!C5</f>
        <v>1</v>
      </c>
      <c r="C2" s="3" t="str">
        <f>Deskriptif!D5</f>
        <v>527</v>
      </c>
      <c r="D2" s="3" t="str">
        <f>IF(C2=Setup!$B$5,Setup!$C$5,Setup!$C$6)</f>
        <v>Ethiopia natural (light roast)</v>
      </c>
      <c r="E2" s="3">
        <f>IF(COUNTA(Deskriptif!E5:K5)&gt;0,1,0)</f>
        <v>1</v>
      </c>
      <c r="F2" s="3">
        <f>IF(Deskriptif!E5="","",Deskriptif!E5)</f>
        <v>7</v>
      </c>
      <c r="G2" s="3">
        <f>IF(Deskriptif!F5="","",Deskriptif!F5)</f>
        <v>10</v>
      </c>
      <c r="H2" s="3">
        <f>IF(Deskriptif!G5="","",Deskriptif!G5)</f>
        <v>7</v>
      </c>
      <c r="I2" s="3">
        <f>IF(Deskriptif!H5="","",Deskriptif!H5)</f>
        <v>7</v>
      </c>
      <c r="J2" s="3">
        <f>IF(Deskriptif!I5="","",Deskriptif!I5)</f>
        <v>11</v>
      </c>
      <c r="K2" s="3">
        <f>IF(Deskriptif!J5="","",Deskriptif!J5)</f>
        <v>4</v>
      </c>
      <c r="L2" s="3">
        <f>IF(Deskriptif!K5="","",Deskriptif!K5)</f>
        <v>7</v>
      </c>
    </row>
    <row r="3" spans="1:12" ht="15" customHeight="1" x14ac:dyDescent="0.2">
      <c r="A3" s="3" t="str">
        <f>Deskriptif!A6</f>
        <v>P01</v>
      </c>
      <c r="B3" s="3">
        <f>Deskriptif!C6</f>
        <v>2</v>
      </c>
      <c r="C3" s="3" t="str">
        <f>Deskriptif!D6</f>
        <v>381</v>
      </c>
      <c r="D3" s="3" t="str">
        <f>IF(C3=Setup!$B$5,Setup!$C$5,Setup!$C$6)</f>
        <v>Robusta Temanggung (dark roast)</v>
      </c>
      <c r="E3" s="3">
        <f>IF(COUNTA(Deskriptif!E6:K6)&gt;0,1,0)</f>
        <v>1</v>
      </c>
      <c r="F3" s="3">
        <f>IF(Deskriptif!E6="","",Deskriptif!E6)</f>
        <v>13</v>
      </c>
      <c r="G3" s="3">
        <f>IF(Deskriptif!F6="","",Deskriptif!F6)</f>
        <v>7</v>
      </c>
      <c r="H3" s="3">
        <f>IF(Deskriptif!G6="","",Deskriptif!G6)</f>
        <v>10</v>
      </c>
      <c r="I3" s="3">
        <f>IF(Deskriptif!H6="","",Deskriptif!H6)</f>
        <v>11</v>
      </c>
      <c r="J3" s="3">
        <f>IF(Deskriptif!I6="","",Deskriptif!I6)</f>
        <v>2</v>
      </c>
      <c r="K3" s="3">
        <f>IF(Deskriptif!J6="","",Deskriptif!J6)</f>
        <v>6</v>
      </c>
      <c r="L3" s="3">
        <f>IF(Deskriptif!K6="","",Deskriptif!K6)</f>
        <v>8</v>
      </c>
    </row>
    <row r="4" spans="1:12" ht="15" customHeight="1" x14ac:dyDescent="0.2">
      <c r="A4" s="3" t="str">
        <f>Deskriptif!A7</f>
        <v>P02</v>
      </c>
      <c r="B4" s="3">
        <f>Deskriptif!C7</f>
        <v>1</v>
      </c>
      <c r="C4" s="3" t="str">
        <f>Deskriptif!D7</f>
        <v>527</v>
      </c>
      <c r="D4" s="3" t="str">
        <f>IF(C4=Setup!$B$5,Setup!$C$5,Setup!$C$6)</f>
        <v>Ethiopia natural (light roast)</v>
      </c>
      <c r="E4" s="3">
        <f>IF(COUNTA(Deskriptif!E7:K7)&gt;0,1,0)</f>
        <v>1</v>
      </c>
      <c r="F4" s="3">
        <f>IF(Deskriptif!E7="","",Deskriptif!E7)</f>
        <v>6</v>
      </c>
      <c r="G4" s="3">
        <f>IF(Deskriptif!F7="","",Deskriptif!F7)</f>
        <v>7</v>
      </c>
      <c r="H4" s="3">
        <f>IF(Deskriptif!G7="","",Deskriptif!G7)</f>
        <v>10</v>
      </c>
      <c r="I4" s="3">
        <f>IF(Deskriptif!H7="","",Deskriptif!H7)</f>
        <v>7</v>
      </c>
      <c r="J4" s="3">
        <f>IF(Deskriptif!I7="","",Deskriptif!I7)</f>
        <v>11</v>
      </c>
      <c r="K4" s="3">
        <f>IF(Deskriptif!J7="","",Deskriptif!J7)</f>
        <v>8</v>
      </c>
      <c r="L4" s="3">
        <f>IF(Deskriptif!K7="","",Deskriptif!K7)</f>
        <v>10</v>
      </c>
    </row>
    <row r="5" spans="1:12" ht="15" customHeight="1" x14ac:dyDescent="0.2">
      <c r="A5" s="3" t="str">
        <f>Deskriptif!A8</f>
        <v>P02</v>
      </c>
      <c r="B5" s="3">
        <f>Deskriptif!C8</f>
        <v>2</v>
      </c>
      <c r="C5" s="3" t="str">
        <f>Deskriptif!D8</f>
        <v>381</v>
      </c>
      <c r="D5" s="3" t="str">
        <f>IF(C5=Setup!$B$5,Setup!$C$5,Setup!$C$6)</f>
        <v>Robusta Temanggung (dark roast)</v>
      </c>
      <c r="E5" s="3">
        <f>IF(COUNTA(Deskriptif!E8:K8)&gt;0,1,0)</f>
        <v>1</v>
      </c>
      <c r="F5" s="3">
        <f>IF(Deskriptif!E8="","",Deskriptif!E8)</f>
        <v>10</v>
      </c>
      <c r="G5" s="3">
        <f>IF(Deskriptif!F8="","",Deskriptif!F8)</f>
        <v>9</v>
      </c>
      <c r="H5" s="3">
        <f>IF(Deskriptif!G8="","",Deskriptif!G8)</f>
        <v>11</v>
      </c>
      <c r="I5" s="3">
        <f>IF(Deskriptif!H8="","",Deskriptif!H8)</f>
        <v>6</v>
      </c>
      <c r="J5" s="3">
        <f>IF(Deskriptif!I8="","",Deskriptif!I8)</f>
        <v>5</v>
      </c>
      <c r="K5" s="3">
        <f>IF(Deskriptif!J8="","",Deskriptif!J8)</f>
        <v>6</v>
      </c>
      <c r="L5" s="3">
        <f>IF(Deskriptif!K8="","",Deskriptif!K8)</f>
        <v>8</v>
      </c>
    </row>
    <row r="6" spans="1:12" ht="15" customHeight="1" x14ac:dyDescent="0.2">
      <c r="A6" s="3" t="str">
        <f>Deskriptif!A9</f>
        <v>P03</v>
      </c>
      <c r="B6" s="3">
        <f>Deskriptif!C9</f>
        <v>1</v>
      </c>
      <c r="C6" s="3" t="str">
        <f>Deskriptif!D9</f>
        <v>527</v>
      </c>
      <c r="D6" s="3" t="str">
        <f>IF(C6=Setup!$B$5,Setup!$C$5,Setup!$C$6)</f>
        <v>Ethiopia natural (light roast)</v>
      </c>
      <c r="E6" s="3">
        <f>IF(COUNTA(Deskriptif!E9:K9)&gt;0,1,0)</f>
        <v>1</v>
      </c>
      <c r="F6" s="3">
        <f>IF(Deskriptif!E9="","",Deskriptif!E9)</f>
        <v>11</v>
      </c>
      <c r="G6" s="3">
        <f>IF(Deskriptif!F9="","",Deskriptif!F9)</f>
        <v>5</v>
      </c>
      <c r="H6" s="3">
        <f>IF(Deskriptif!G9="","",Deskriptif!G9)</f>
        <v>9</v>
      </c>
      <c r="I6" s="3">
        <f>IF(Deskriptif!H9="","",Deskriptif!H9)</f>
        <v>8</v>
      </c>
      <c r="J6" s="3">
        <f>IF(Deskriptif!I9="","",Deskriptif!I9)</f>
        <v>10</v>
      </c>
      <c r="K6" s="3">
        <f>IF(Deskriptif!J9="","",Deskriptif!J9)</f>
        <v>8</v>
      </c>
      <c r="L6" s="3">
        <f>IF(Deskriptif!K9="","",Deskriptif!K9)</f>
        <v>6</v>
      </c>
    </row>
    <row r="7" spans="1:12" ht="15" customHeight="1" x14ac:dyDescent="0.2">
      <c r="A7" s="3" t="str">
        <f>Deskriptif!A10</f>
        <v>P03</v>
      </c>
      <c r="B7" s="3">
        <f>Deskriptif!C10</f>
        <v>2</v>
      </c>
      <c r="C7" s="3" t="str">
        <f>Deskriptif!D10</f>
        <v>381</v>
      </c>
      <c r="D7" s="3" t="str">
        <f>IF(C7=Setup!$B$5,Setup!$C$5,Setup!$C$6)</f>
        <v>Robusta Temanggung (dark roast)</v>
      </c>
      <c r="E7" s="3">
        <f>IF(COUNTA(Deskriptif!E10:K10)&gt;0,1,0)</f>
        <v>1</v>
      </c>
      <c r="F7" s="3">
        <f>IF(Deskriptif!E10="","",Deskriptif!E10)</f>
        <v>8</v>
      </c>
      <c r="G7" s="3">
        <f>IF(Deskriptif!F10="","",Deskriptif!F10)</f>
        <v>8</v>
      </c>
      <c r="H7" s="3">
        <f>IF(Deskriptif!G10="","",Deskriptif!G10)</f>
        <v>7</v>
      </c>
      <c r="I7" s="3">
        <f>IF(Deskriptif!H10="","",Deskriptif!H10)</f>
        <v>6</v>
      </c>
      <c r="J7" s="3">
        <f>IF(Deskriptif!I10="","",Deskriptif!I10)</f>
        <v>4</v>
      </c>
      <c r="K7" s="3">
        <f>IF(Deskriptif!J10="","",Deskriptif!J10)</f>
        <v>8</v>
      </c>
      <c r="L7" s="3">
        <f>IF(Deskriptif!K10="","",Deskriptif!K10)</f>
        <v>8</v>
      </c>
    </row>
    <row r="8" spans="1:12" ht="15" customHeight="1" x14ac:dyDescent="0.2">
      <c r="A8" s="3" t="str">
        <f>Deskriptif!A11</f>
        <v>P04</v>
      </c>
      <c r="B8" s="3">
        <f>Deskriptif!C11</f>
        <v>1</v>
      </c>
      <c r="C8" s="3" t="str">
        <f>Deskriptif!D11</f>
        <v>527</v>
      </c>
      <c r="D8" s="3" t="str">
        <f>IF(C8=Setup!$B$5,Setup!$C$5,Setup!$C$6)</f>
        <v>Ethiopia natural (light roast)</v>
      </c>
      <c r="E8" s="3">
        <f>IF(COUNTA(Deskriptif!E11:K11)&gt;0,1,0)</f>
        <v>1</v>
      </c>
      <c r="F8" s="3">
        <f>IF(Deskriptif!E11="","",Deskriptif!E11)</f>
        <v>8</v>
      </c>
      <c r="G8" s="3">
        <f>IF(Deskriptif!F11="","",Deskriptif!F11)</f>
        <v>7</v>
      </c>
      <c r="H8" s="3">
        <f>IF(Deskriptif!G11="","",Deskriptif!G11)</f>
        <v>12</v>
      </c>
      <c r="I8" s="3">
        <f>IF(Deskriptif!H11="","",Deskriptif!H11)</f>
        <v>6</v>
      </c>
      <c r="J8" s="3">
        <f>IF(Deskriptif!I11="","",Deskriptif!I11)</f>
        <v>12</v>
      </c>
      <c r="K8" s="3">
        <f>IF(Deskriptif!J11="","",Deskriptif!J11)</f>
        <v>8</v>
      </c>
      <c r="L8" s="3">
        <f>IF(Deskriptif!K11="","",Deskriptif!K11)</f>
        <v>9</v>
      </c>
    </row>
    <row r="9" spans="1:12" ht="15" customHeight="1" x14ac:dyDescent="0.2">
      <c r="A9" s="3" t="str">
        <f>Deskriptif!A12</f>
        <v>P04</v>
      </c>
      <c r="B9" s="3">
        <f>Deskriptif!C12</f>
        <v>2</v>
      </c>
      <c r="C9" s="3" t="str">
        <f>Deskriptif!D12</f>
        <v>381</v>
      </c>
      <c r="D9" s="3" t="str">
        <f>IF(C9=Setup!$B$5,Setup!$C$5,Setup!$C$6)</f>
        <v>Robusta Temanggung (dark roast)</v>
      </c>
      <c r="E9" s="3">
        <f>IF(COUNTA(Deskriptif!E12:K12)&gt;0,1,0)</f>
        <v>1</v>
      </c>
      <c r="F9" s="3">
        <f>IF(Deskriptif!E12="","",Deskriptif!E12)</f>
        <v>9</v>
      </c>
      <c r="G9" s="3">
        <f>IF(Deskriptif!F12="","",Deskriptif!F12)</f>
        <v>11</v>
      </c>
      <c r="H9" s="3">
        <f>IF(Deskriptif!G12="","",Deskriptif!G12)</f>
        <v>8</v>
      </c>
      <c r="I9" s="3">
        <f>IF(Deskriptif!H12="","",Deskriptif!H12)</f>
        <v>8</v>
      </c>
      <c r="J9" s="3">
        <f>IF(Deskriptif!I12="","",Deskriptif!I12)</f>
        <v>8</v>
      </c>
      <c r="K9" s="3">
        <f>IF(Deskriptif!J12="","",Deskriptif!J12)</f>
        <v>5</v>
      </c>
      <c r="L9" s="3">
        <f>IF(Deskriptif!K12="","",Deskriptif!K12)</f>
        <v>10</v>
      </c>
    </row>
    <row r="10" spans="1:12" ht="15" customHeight="1" x14ac:dyDescent="0.2">
      <c r="A10" s="3" t="str">
        <f>Deskriptif!A13</f>
        <v>P05</v>
      </c>
      <c r="B10" s="3">
        <f>Deskriptif!C13</f>
        <v>1</v>
      </c>
      <c r="C10" s="3" t="str">
        <f>Deskriptif!D13</f>
        <v>527</v>
      </c>
      <c r="D10" s="3" t="str">
        <f>IF(C10=Setup!$B$5,Setup!$C$5,Setup!$C$6)</f>
        <v>Ethiopia natural (light roast)</v>
      </c>
      <c r="E10" s="3">
        <f>IF(COUNTA(Deskriptif!E13:K13)&gt;0,1,0)</f>
        <v>1</v>
      </c>
      <c r="F10" s="3">
        <f>IF(Deskriptif!E13="","",Deskriptif!E13)</f>
        <v>8</v>
      </c>
      <c r="G10" s="3">
        <f>IF(Deskriptif!F13="","",Deskriptif!F13)</f>
        <v>13</v>
      </c>
      <c r="H10" s="3">
        <f>IF(Deskriptif!G13="","",Deskriptif!G13)</f>
        <v>8</v>
      </c>
      <c r="I10" s="3">
        <f>IF(Deskriptif!H13="","",Deskriptif!H13)</f>
        <v>9</v>
      </c>
      <c r="J10" s="3">
        <f>IF(Deskriptif!I13="","",Deskriptif!I13)</f>
        <v>12</v>
      </c>
      <c r="K10" s="3">
        <f>IF(Deskriptif!J13="","",Deskriptif!J13)</f>
        <v>7</v>
      </c>
      <c r="L10" s="3">
        <f>IF(Deskriptif!K13="","",Deskriptif!K13)</f>
        <v>5</v>
      </c>
    </row>
    <row r="11" spans="1:12" ht="15" customHeight="1" x14ac:dyDescent="0.2">
      <c r="A11" s="3" t="str">
        <f>Deskriptif!A14</f>
        <v>P05</v>
      </c>
      <c r="B11" s="3">
        <f>Deskriptif!C14</f>
        <v>2</v>
      </c>
      <c r="C11" s="3" t="str">
        <f>Deskriptif!D14</f>
        <v>381</v>
      </c>
      <c r="D11" s="3" t="str">
        <f>IF(C11=Setup!$B$5,Setup!$C$5,Setup!$C$6)</f>
        <v>Robusta Temanggung (dark roast)</v>
      </c>
      <c r="E11" s="3">
        <f>IF(COUNTA(Deskriptif!E14:K14)&gt;0,1,0)</f>
        <v>1</v>
      </c>
      <c r="F11" s="3">
        <f>IF(Deskriptif!E14="","",Deskriptif!E14)</f>
        <v>8</v>
      </c>
      <c r="G11" s="3">
        <f>IF(Deskriptif!F14="","",Deskriptif!F14)</f>
        <v>9</v>
      </c>
      <c r="H11" s="3">
        <f>IF(Deskriptif!G14="","",Deskriptif!G14)</f>
        <v>9</v>
      </c>
      <c r="I11" s="3">
        <f>IF(Deskriptif!H14="","",Deskriptif!H14)</f>
        <v>9</v>
      </c>
      <c r="J11" s="3">
        <f>IF(Deskriptif!I14="","",Deskriptif!I14)</f>
        <v>5</v>
      </c>
      <c r="K11" s="3">
        <f>IF(Deskriptif!J14="","",Deskriptif!J14)</f>
        <v>8</v>
      </c>
      <c r="L11" s="3">
        <f>IF(Deskriptif!K14="","",Deskriptif!K14)</f>
        <v>11</v>
      </c>
    </row>
    <row r="12" spans="1:12" ht="15" customHeight="1" x14ac:dyDescent="0.2">
      <c r="A12" s="3" t="str">
        <f>Deskriptif!A15</f>
        <v>P06</v>
      </c>
      <c r="B12" s="3">
        <f>Deskriptif!C15</f>
        <v>1</v>
      </c>
      <c r="C12" s="3" t="str">
        <f>Deskriptif!D15</f>
        <v>527</v>
      </c>
      <c r="D12" s="3" t="str">
        <f>IF(C12=Setup!$B$5,Setup!$C$5,Setup!$C$6)</f>
        <v>Ethiopia natural (light roast)</v>
      </c>
      <c r="E12" s="3">
        <f>IF(COUNTA(Deskriptif!E15:K15)&gt;0,1,0)</f>
        <v>1</v>
      </c>
      <c r="F12" s="3">
        <f>IF(Deskriptif!E15="","",Deskriptif!E15)</f>
        <v>11</v>
      </c>
      <c r="G12" s="3">
        <f>IF(Deskriptif!F15="","",Deskriptif!F15)</f>
        <v>9</v>
      </c>
      <c r="H12" s="3">
        <f>IF(Deskriptif!G15="","",Deskriptif!G15)</f>
        <v>8</v>
      </c>
      <c r="I12" s="3">
        <f>IF(Deskriptif!H15="","",Deskriptif!H15)</f>
        <v>6</v>
      </c>
      <c r="J12" s="3">
        <f>IF(Deskriptif!I15="","",Deskriptif!I15)</f>
        <v>11</v>
      </c>
      <c r="K12" s="3">
        <f>IF(Deskriptif!J15="","",Deskriptif!J15)</f>
        <v>10</v>
      </c>
      <c r="L12" s="3">
        <f>IF(Deskriptif!K15="","",Deskriptif!K15)</f>
        <v>7</v>
      </c>
    </row>
    <row r="13" spans="1:12" ht="15" customHeight="1" x14ac:dyDescent="0.2">
      <c r="A13" s="3" t="str">
        <f>Deskriptif!A16</f>
        <v>P06</v>
      </c>
      <c r="B13" s="3">
        <f>Deskriptif!C16</f>
        <v>2</v>
      </c>
      <c r="C13" s="3" t="str">
        <f>Deskriptif!D16</f>
        <v>381</v>
      </c>
      <c r="D13" s="3" t="str">
        <f>IF(C13=Setup!$B$5,Setup!$C$5,Setup!$C$6)</f>
        <v>Robusta Temanggung (dark roast)</v>
      </c>
      <c r="E13" s="3">
        <f>IF(COUNTA(Deskriptif!E16:K16)&gt;0,1,0)</f>
        <v>1</v>
      </c>
      <c r="F13" s="3">
        <f>IF(Deskriptif!E16="","",Deskriptif!E16)</f>
        <v>9</v>
      </c>
      <c r="G13" s="3">
        <f>IF(Deskriptif!F16="","",Deskriptif!F16)</f>
        <v>8</v>
      </c>
      <c r="H13" s="3">
        <f>IF(Deskriptif!G16="","",Deskriptif!G16)</f>
        <v>7</v>
      </c>
      <c r="I13" s="3">
        <f>IF(Deskriptif!H16="","",Deskriptif!H16)</f>
        <v>8</v>
      </c>
      <c r="J13" s="3">
        <f>IF(Deskriptif!I16="","",Deskriptif!I16)</f>
        <v>3</v>
      </c>
      <c r="K13" s="3">
        <f>IF(Deskriptif!J16="","",Deskriptif!J16)</f>
        <v>5</v>
      </c>
      <c r="L13" s="3">
        <f>IF(Deskriptif!K16="","",Deskriptif!K16)</f>
        <v>10</v>
      </c>
    </row>
    <row r="14" spans="1:12" ht="15" customHeight="1" x14ac:dyDescent="0.2">
      <c r="A14" s="3" t="str">
        <f>Deskriptif!A17</f>
        <v>P07</v>
      </c>
      <c r="B14" s="3">
        <f>Deskriptif!C17</f>
        <v>1</v>
      </c>
      <c r="C14" s="3" t="str">
        <f>Deskriptif!D17</f>
        <v>527</v>
      </c>
      <c r="D14" s="3" t="str">
        <f>IF(C14=Setup!$B$5,Setup!$C$5,Setup!$C$6)</f>
        <v>Ethiopia natural (light roast)</v>
      </c>
      <c r="E14" s="3">
        <f>IF(COUNTA(Deskriptif!E17:K17)&gt;0,1,0)</f>
        <v>1</v>
      </c>
      <c r="F14" s="3">
        <f>IF(Deskriptif!E17="","",Deskriptif!E17)</f>
        <v>6</v>
      </c>
      <c r="G14" s="3">
        <f>IF(Deskriptif!F17="","",Deskriptif!F17)</f>
        <v>7</v>
      </c>
      <c r="H14" s="3">
        <f>IF(Deskriptif!G17="","",Deskriptif!G17)</f>
        <v>10</v>
      </c>
      <c r="I14" s="3">
        <f>IF(Deskriptif!H17="","",Deskriptif!H17)</f>
        <v>8</v>
      </c>
      <c r="J14" s="3">
        <f>IF(Deskriptif!I17="","",Deskriptif!I17)</f>
        <v>11</v>
      </c>
      <c r="K14" s="3">
        <f>IF(Deskriptif!J17="","",Deskriptif!J17)</f>
        <v>11</v>
      </c>
      <c r="L14" s="3">
        <f>IF(Deskriptif!K17="","",Deskriptif!K17)</f>
        <v>6</v>
      </c>
    </row>
    <row r="15" spans="1:12" ht="15" customHeight="1" x14ac:dyDescent="0.2">
      <c r="A15" s="3" t="str">
        <f>Deskriptif!A18</f>
        <v>P07</v>
      </c>
      <c r="B15" s="3">
        <f>Deskriptif!C18</f>
        <v>2</v>
      </c>
      <c r="C15" s="3" t="str">
        <f>Deskriptif!D18</f>
        <v>381</v>
      </c>
      <c r="D15" s="3" t="str">
        <f>IF(C15=Setup!$B$5,Setup!$C$5,Setup!$C$6)</f>
        <v>Robusta Temanggung (dark roast)</v>
      </c>
      <c r="E15" s="3">
        <f>IF(COUNTA(Deskriptif!E18:K18)&gt;0,1,0)</f>
        <v>1</v>
      </c>
      <c r="F15" s="3">
        <f>IF(Deskriptif!E18="","",Deskriptif!E18)</f>
        <v>6</v>
      </c>
      <c r="G15" s="3">
        <f>IF(Deskriptif!F18="","",Deskriptif!F18)</f>
        <v>8</v>
      </c>
      <c r="H15" s="3">
        <f>IF(Deskriptif!G18="","",Deskriptif!G18)</f>
        <v>9</v>
      </c>
      <c r="I15" s="3">
        <f>IF(Deskriptif!H18="","",Deskriptif!H18)</f>
        <v>12</v>
      </c>
      <c r="J15" s="3">
        <f>IF(Deskriptif!I18="","",Deskriptif!I18)</f>
        <v>2</v>
      </c>
      <c r="K15" s="3">
        <f>IF(Deskriptif!J18="","",Deskriptif!J18)</f>
        <v>3</v>
      </c>
      <c r="L15" s="3">
        <f>IF(Deskriptif!K18="","",Deskriptif!K18)</f>
        <v>9</v>
      </c>
    </row>
    <row r="16" spans="1:12" ht="15" customHeight="1" x14ac:dyDescent="0.2">
      <c r="A16" s="3" t="str">
        <f>Deskriptif!A19</f>
        <v>P08</v>
      </c>
      <c r="B16" s="3">
        <f>Deskriptif!C19</f>
        <v>1</v>
      </c>
      <c r="C16" s="3" t="str">
        <f>Deskriptif!D19</f>
        <v>527</v>
      </c>
      <c r="D16" s="3" t="str">
        <f>IF(C16=Setup!$B$5,Setup!$C$5,Setup!$C$6)</f>
        <v>Ethiopia natural (light roast)</v>
      </c>
      <c r="E16" s="3">
        <f>IF(COUNTA(Deskriptif!E19:K19)&gt;0,1,0)</f>
        <v>1</v>
      </c>
      <c r="F16" s="3">
        <f>IF(Deskriptif!E19="","",Deskriptif!E19)</f>
        <v>6</v>
      </c>
      <c r="G16" s="3">
        <f>IF(Deskriptif!F19="","",Deskriptif!F19)</f>
        <v>7</v>
      </c>
      <c r="H16" s="3">
        <f>IF(Deskriptif!G19="","",Deskriptif!G19)</f>
        <v>12</v>
      </c>
      <c r="I16" s="3">
        <f>IF(Deskriptif!H19="","",Deskriptif!H19)</f>
        <v>10</v>
      </c>
      <c r="J16" s="3">
        <f>IF(Deskriptif!I19="","",Deskriptif!I19)</f>
        <v>5</v>
      </c>
      <c r="K16" s="3">
        <f>IF(Deskriptif!J19="","",Deskriptif!J19)</f>
        <v>6</v>
      </c>
      <c r="L16" s="3">
        <f>IF(Deskriptif!K19="","",Deskriptif!K19)</f>
        <v>7</v>
      </c>
    </row>
    <row r="17" spans="1:12" ht="15" customHeight="1" x14ac:dyDescent="0.2">
      <c r="A17" s="3" t="str">
        <f>Deskriptif!A20</f>
        <v>P08</v>
      </c>
      <c r="B17" s="3">
        <f>Deskriptif!C20</f>
        <v>2</v>
      </c>
      <c r="C17" s="3" t="str">
        <f>Deskriptif!D20</f>
        <v>381</v>
      </c>
      <c r="D17" s="3" t="str">
        <f>IF(C17=Setup!$B$5,Setup!$C$5,Setup!$C$6)</f>
        <v>Robusta Temanggung (dark roast)</v>
      </c>
      <c r="E17" s="3">
        <f>IF(COUNTA(Deskriptif!E20:K20)&gt;0,1,0)</f>
        <v>1</v>
      </c>
      <c r="F17" s="3">
        <f>IF(Deskriptif!E20="","",Deskriptif!E20)</f>
        <v>8</v>
      </c>
      <c r="G17" s="3">
        <f>IF(Deskriptif!F20="","",Deskriptif!F20)</f>
        <v>11</v>
      </c>
      <c r="H17" s="3">
        <f>IF(Deskriptif!G20="","",Deskriptif!G20)</f>
        <v>10</v>
      </c>
      <c r="I17" s="3">
        <f>IF(Deskriptif!H20="","",Deskriptif!H20)</f>
        <v>8</v>
      </c>
      <c r="J17" s="3">
        <f>IF(Deskriptif!I20="","",Deskriptif!I20)</f>
        <v>6</v>
      </c>
      <c r="K17" s="3">
        <f>IF(Deskriptif!J20="","",Deskriptif!J20)</f>
        <v>3</v>
      </c>
      <c r="L17" s="3">
        <f>IF(Deskriptif!K20="","",Deskriptif!K20)</f>
        <v>10</v>
      </c>
    </row>
    <row r="18" spans="1:12" ht="15" customHeight="1" x14ac:dyDescent="0.2">
      <c r="A18" s="3" t="str">
        <f>Deskriptif!A21</f>
        <v>P09</v>
      </c>
      <c r="B18" s="3">
        <f>Deskriptif!C21</f>
        <v>1</v>
      </c>
      <c r="C18" s="3" t="str">
        <f>Deskriptif!D21</f>
        <v>527</v>
      </c>
      <c r="D18" s="3" t="str">
        <f>IF(C18=Setup!$B$5,Setup!$C$5,Setup!$C$6)</f>
        <v>Ethiopia natural (light roast)</v>
      </c>
      <c r="E18" s="3">
        <f>IF(COUNTA(Deskriptif!E21:K21)&gt;0,1,0)</f>
        <v>1</v>
      </c>
      <c r="F18" s="3">
        <f>IF(Deskriptif!E21="","",Deskriptif!E21)</f>
        <v>10</v>
      </c>
      <c r="G18" s="3">
        <f>IF(Deskriptif!F21="","",Deskriptif!F21)</f>
        <v>7</v>
      </c>
      <c r="H18" s="3">
        <f>IF(Deskriptif!G21="","",Deskriptif!G21)</f>
        <v>9</v>
      </c>
      <c r="I18" s="3">
        <f>IF(Deskriptif!H21="","",Deskriptif!H21)</f>
        <v>7</v>
      </c>
      <c r="J18" s="3">
        <f>IF(Deskriptif!I21="","",Deskriptif!I21)</f>
        <v>10</v>
      </c>
      <c r="K18" s="3">
        <f>IF(Deskriptif!J21="","",Deskriptif!J21)</f>
        <v>9</v>
      </c>
      <c r="L18" s="3">
        <f>IF(Deskriptif!K21="","",Deskriptif!K21)</f>
        <v>12</v>
      </c>
    </row>
    <row r="19" spans="1:12" ht="15" customHeight="1" x14ac:dyDescent="0.2">
      <c r="A19" s="3" t="str">
        <f>Deskriptif!A22</f>
        <v>P09</v>
      </c>
      <c r="B19" s="3">
        <f>Deskriptif!C22</f>
        <v>2</v>
      </c>
      <c r="C19" s="3" t="str">
        <f>Deskriptif!D22</f>
        <v>381</v>
      </c>
      <c r="D19" s="3" t="str">
        <f>IF(C19=Setup!$B$5,Setup!$C$5,Setup!$C$6)</f>
        <v>Robusta Temanggung (dark roast)</v>
      </c>
      <c r="E19" s="3">
        <f>IF(COUNTA(Deskriptif!E22:K22)&gt;0,1,0)</f>
        <v>1</v>
      </c>
      <c r="F19" s="3">
        <f>IF(Deskriptif!E22="","",Deskriptif!E22)</f>
        <v>9</v>
      </c>
      <c r="G19" s="3">
        <f>IF(Deskriptif!F22="","",Deskriptif!F22)</f>
        <v>9</v>
      </c>
      <c r="H19" s="3">
        <f>IF(Deskriptif!G22="","",Deskriptif!G22)</f>
        <v>7</v>
      </c>
      <c r="I19" s="3">
        <f>IF(Deskriptif!H22="","",Deskriptif!H22)</f>
        <v>8</v>
      </c>
      <c r="J19" s="3">
        <f>IF(Deskriptif!I22="","",Deskriptif!I22)</f>
        <v>6</v>
      </c>
      <c r="K19" s="3">
        <f>IF(Deskriptif!J22="","",Deskriptif!J22)</f>
        <v>5</v>
      </c>
      <c r="L19" s="3">
        <f>IF(Deskriptif!K22="","",Deskriptif!K22)</f>
        <v>11</v>
      </c>
    </row>
    <row r="20" spans="1:12" ht="15" customHeight="1" x14ac:dyDescent="0.2">
      <c r="A20" s="3" t="str">
        <f>Deskriptif!A23</f>
        <v>P10</v>
      </c>
      <c r="B20" s="3">
        <f>Deskriptif!C23</f>
        <v>1</v>
      </c>
      <c r="C20" s="3" t="str">
        <f>Deskriptif!D23</f>
        <v>527</v>
      </c>
      <c r="D20" s="3" t="str">
        <f>IF(C20=Setup!$B$5,Setup!$C$5,Setup!$C$6)</f>
        <v>Ethiopia natural (light roast)</v>
      </c>
      <c r="E20" s="3">
        <f>IF(COUNTA(Deskriptif!E23:K23)&gt;0,1,0)</f>
        <v>1</v>
      </c>
      <c r="F20" s="3">
        <f>IF(Deskriptif!E23="","",Deskriptif!E23)</f>
        <v>10</v>
      </c>
      <c r="G20" s="3">
        <f>IF(Deskriptif!F23="","",Deskriptif!F23)</f>
        <v>8</v>
      </c>
      <c r="H20" s="3">
        <f>IF(Deskriptif!G23="","",Deskriptif!G23)</f>
        <v>10</v>
      </c>
      <c r="I20" s="3">
        <f>IF(Deskriptif!H23="","",Deskriptif!H23)</f>
        <v>5</v>
      </c>
      <c r="J20" s="3">
        <f>IF(Deskriptif!I23="","",Deskriptif!I23)</f>
        <v>12</v>
      </c>
      <c r="K20" s="3">
        <f>IF(Deskriptif!J23="","",Deskriptif!J23)</f>
        <v>8</v>
      </c>
      <c r="L20" s="3">
        <f>IF(Deskriptif!K23="","",Deskriptif!K23)</f>
        <v>4</v>
      </c>
    </row>
    <row r="21" spans="1:12" ht="15" customHeight="1" x14ac:dyDescent="0.2">
      <c r="A21" s="3" t="str">
        <f>Deskriptif!A24</f>
        <v>P10</v>
      </c>
      <c r="B21" s="3">
        <f>Deskriptif!C24</f>
        <v>2</v>
      </c>
      <c r="C21" s="3" t="str">
        <f>Deskriptif!D24</f>
        <v>381</v>
      </c>
      <c r="D21" s="3" t="str">
        <f>IF(C21=Setup!$B$5,Setup!$C$5,Setup!$C$6)</f>
        <v>Robusta Temanggung (dark roast)</v>
      </c>
      <c r="E21" s="3">
        <f>IF(COUNTA(Deskriptif!E24:K24)&gt;0,1,0)</f>
        <v>1</v>
      </c>
      <c r="F21" s="3">
        <f>IF(Deskriptif!E24="","",Deskriptif!E24)</f>
        <v>8</v>
      </c>
      <c r="G21" s="3">
        <f>IF(Deskriptif!F24="","",Deskriptif!F24)</f>
        <v>7</v>
      </c>
      <c r="H21" s="3">
        <f>IF(Deskriptif!G24="","",Deskriptif!G24)</f>
        <v>9</v>
      </c>
      <c r="I21" s="3">
        <f>IF(Deskriptif!H24="","",Deskriptif!H24)</f>
        <v>8</v>
      </c>
      <c r="J21" s="3">
        <f>IF(Deskriptif!I24="","",Deskriptif!I24)</f>
        <v>3</v>
      </c>
      <c r="K21" s="3">
        <f>IF(Deskriptif!J24="","",Deskriptif!J24)</f>
        <v>8</v>
      </c>
      <c r="L21" s="3">
        <f>IF(Deskriptif!K24="","",Deskriptif!K24)</f>
        <v>10</v>
      </c>
    </row>
    <row r="22" spans="1:12" ht="15" customHeight="1" x14ac:dyDescent="0.2">
      <c r="A22" s="3" t="str">
        <f>Deskriptif!A25</f>
        <v>P11</v>
      </c>
      <c r="B22" s="3">
        <f>Deskriptif!C25</f>
        <v>1</v>
      </c>
      <c r="C22" s="3" t="str">
        <f>Deskriptif!D25</f>
        <v>527</v>
      </c>
      <c r="D22" s="3" t="str">
        <f>IF(C22=Setup!$B$5,Setup!$C$5,Setup!$C$6)</f>
        <v>Ethiopia natural (light roast)</v>
      </c>
      <c r="E22" s="3">
        <f>IF(COUNTA(Deskriptif!E25:K25)&gt;0,1,0)</f>
        <v>1</v>
      </c>
      <c r="F22" s="3">
        <f>IF(Deskriptif!E25="","",Deskriptif!E25)</f>
        <v>10</v>
      </c>
      <c r="G22" s="3">
        <f>IF(Deskriptif!F25="","",Deskriptif!F25)</f>
        <v>8</v>
      </c>
      <c r="H22" s="3">
        <f>IF(Deskriptif!G25="","",Deskriptif!G25)</f>
        <v>6</v>
      </c>
      <c r="I22" s="3">
        <f>IF(Deskriptif!H25="","",Deskriptif!H25)</f>
        <v>8</v>
      </c>
      <c r="J22" s="3">
        <f>IF(Deskriptif!I25="","",Deskriptif!I25)</f>
        <v>12</v>
      </c>
      <c r="K22" s="3">
        <f>IF(Deskriptif!J25="","",Deskriptif!J25)</f>
        <v>4</v>
      </c>
      <c r="L22" s="3">
        <f>IF(Deskriptif!K25="","",Deskriptif!K25)</f>
        <v>8</v>
      </c>
    </row>
    <row r="23" spans="1:12" ht="15" customHeight="1" x14ac:dyDescent="0.2">
      <c r="A23" s="3" t="str">
        <f>Deskriptif!A26</f>
        <v>P11</v>
      </c>
      <c r="B23" s="3">
        <f>Deskriptif!C26</f>
        <v>2</v>
      </c>
      <c r="C23" s="3" t="str">
        <f>Deskriptif!D26</f>
        <v>381</v>
      </c>
      <c r="D23" s="3" t="str">
        <f>IF(C23=Setup!$B$5,Setup!$C$5,Setup!$C$6)</f>
        <v>Robusta Temanggung (dark roast)</v>
      </c>
      <c r="E23" s="3">
        <f>IF(COUNTA(Deskriptif!E26:K26)&gt;0,1,0)</f>
        <v>1</v>
      </c>
      <c r="F23" s="3">
        <f>IF(Deskriptif!E26="","",Deskriptif!E26)</f>
        <v>9</v>
      </c>
      <c r="G23" s="3">
        <f>IF(Deskriptif!F26="","",Deskriptif!F26)</f>
        <v>10</v>
      </c>
      <c r="H23" s="3">
        <f>IF(Deskriptif!G26="","",Deskriptif!G26)</f>
        <v>11</v>
      </c>
      <c r="I23" s="3">
        <f>IF(Deskriptif!H26="","",Deskriptif!H26)</f>
        <v>7</v>
      </c>
      <c r="J23" s="3">
        <f>IF(Deskriptif!I26="","",Deskriptif!I26)</f>
        <v>3</v>
      </c>
      <c r="K23" s="3">
        <f>IF(Deskriptif!J26="","",Deskriptif!J26)</f>
        <v>4</v>
      </c>
      <c r="L23" s="3">
        <f>IF(Deskriptif!K26="","",Deskriptif!K26)</f>
        <v>11</v>
      </c>
    </row>
    <row r="24" spans="1:12" ht="15" customHeight="1" x14ac:dyDescent="0.2">
      <c r="A24" s="3" t="str">
        <f>Deskriptif!A27</f>
        <v>P12</v>
      </c>
      <c r="B24" s="3">
        <f>Deskriptif!C27</f>
        <v>1</v>
      </c>
      <c r="C24" s="3" t="str">
        <f>Deskriptif!D27</f>
        <v>527</v>
      </c>
      <c r="D24" s="3" t="str">
        <f>IF(C24=Setup!$B$5,Setup!$C$5,Setup!$C$6)</f>
        <v>Ethiopia natural (light roast)</v>
      </c>
      <c r="E24" s="3">
        <f>IF(COUNTA(Deskriptif!E27:K27)&gt;0,1,0)</f>
        <v>1</v>
      </c>
      <c r="F24" s="3">
        <f>IF(Deskriptif!E27="","",Deskriptif!E27)</f>
        <v>11</v>
      </c>
      <c r="G24" s="3">
        <f>IF(Deskriptif!F27="","",Deskriptif!F27)</f>
        <v>6</v>
      </c>
      <c r="H24" s="3">
        <f>IF(Deskriptif!G27="","",Deskriptif!G27)</f>
        <v>6</v>
      </c>
      <c r="I24" s="3">
        <f>IF(Deskriptif!H27="","",Deskriptif!H27)</f>
        <v>8</v>
      </c>
      <c r="J24" s="3">
        <f>IF(Deskriptif!I27="","",Deskriptif!I27)</f>
        <v>12</v>
      </c>
      <c r="K24" s="3">
        <f>IF(Deskriptif!J27="","",Deskriptif!J27)</f>
        <v>7</v>
      </c>
      <c r="L24" s="3">
        <f>IF(Deskriptif!K27="","",Deskriptif!K27)</f>
        <v>8</v>
      </c>
    </row>
    <row r="25" spans="1:12" ht="15" customHeight="1" x14ac:dyDescent="0.2">
      <c r="A25" s="3" t="str">
        <f>Deskriptif!A28</f>
        <v>P12</v>
      </c>
      <c r="B25" s="3">
        <f>Deskriptif!C28</f>
        <v>2</v>
      </c>
      <c r="C25" s="3" t="str">
        <f>Deskriptif!D28</f>
        <v>381</v>
      </c>
      <c r="D25" s="3" t="str">
        <f>IF(C25=Setup!$B$5,Setup!$C$5,Setup!$C$6)</f>
        <v>Robusta Temanggung (dark roast)</v>
      </c>
      <c r="E25" s="3">
        <f>IF(COUNTA(Deskriptif!E28:K28)&gt;0,1,0)</f>
        <v>1</v>
      </c>
      <c r="F25" s="3">
        <f>IF(Deskriptif!E28="","",Deskriptif!E28)</f>
        <v>7</v>
      </c>
      <c r="G25" s="3">
        <f>IF(Deskriptif!F28="","",Deskriptif!F28)</f>
        <v>9</v>
      </c>
      <c r="H25" s="3">
        <f>IF(Deskriptif!G28="","",Deskriptif!G28)</f>
        <v>10</v>
      </c>
      <c r="I25" s="3">
        <f>IF(Deskriptif!H28="","",Deskriptif!H28)</f>
        <v>8</v>
      </c>
      <c r="J25" s="3">
        <f>IF(Deskriptif!I28="","",Deskriptif!I28)</f>
        <v>2</v>
      </c>
      <c r="K25" s="3">
        <f>IF(Deskriptif!J28="","",Deskriptif!J28)</f>
        <v>4</v>
      </c>
      <c r="L25" s="3">
        <f>IF(Deskriptif!K28="","",Deskriptif!K28)</f>
        <v>7</v>
      </c>
    </row>
    <row r="26" spans="1:12" ht="15" customHeight="1" x14ac:dyDescent="0.2">
      <c r="A26" s="3" t="str">
        <f>Deskriptif!A29</f>
        <v>P13</v>
      </c>
      <c r="B26" s="3">
        <f>Deskriptif!C29</f>
        <v>1</v>
      </c>
      <c r="C26" s="3" t="str">
        <f>Deskriptif!D29</f>
        <v>527</v>
      </c>
      <c r="D26" s="3" t="str">
        <f>IF(C26=Setup!$B$5,Setup!$C$5,Setup!$C$6)</f>
        <v>Ethiopia natural (light roast)</v>
      </c>
      <c r="E26" s="3">
        <f>IF(COUNTA(Deskriptif!E29:K29)&gt;0,1,0)</f>
        <v>1</v>
      </c>
      <c r="F26" s="3">
        <f>IF(Deskriptif!E29="","",Deskriptif!E29)</f>
        <v>10</v>
      </c>
      <c r="G26" s="3">
        <f>IF(Deskriptif!F29="","",Deskriptif!F29)</f>
        <v>6</v>
      </c>
      <c r="H26" s="3">
        <f>IF(Deskriptif!G29="","",Deskriptif!G29)</f>
        <v>8</v>
      </c>
      <c r="I26" s="3">
        <f>IF(Deskriptif!H29="","",Deskriptif!H29)</f>
        <v>4</v>
      </c>
      <c r="J26" s="3">
        <f>IF(Deskriptif!I29="","",Deskriptif!I29)</f>
        <v>12</v>
      </c>
      <c r="K26" s="3">
        <f>IF(Deskriptif!J29="","",Deskriptif!J29)</f>
        <v>7</v>
      </c>
      <c r="L26" s="3">
        <f>IF(Deskriptif!K29="","",Deskriptif!K29)</f>
        <v>9</v>
      </c>
    </row>
    <row r="27" spans="1:12" ht="15" customHeight="1" x14ac:dyDescent="0.2">
      <c r="A27" s="3" t="str">
        <f>Deskriptif!A30</f>
        <v>P13</v>
      </c>
      <c r="B27" s="3">
        <f>Deskriptif!C30</f>
        <v>2</v>
      </c>
      <c r="C27" s="3" t="str">
        <f>Deskriptif!D30</f>
        <v>381</v>
      </c>
      <c r="D27" s="3" t="str">
        <f>IF(C27=Setup!$B$5,Setup!$C$5,Setup!$C$6)</f>
        <v>Robusta Temanggung (dark roast)</v>
      </c>
      <c r="E27" s="3">
        <f>IF(COUNTA(Deskriptif!E30:K30)&gt;0,1,0)</f>
        <v>1</v>
      </c>
      <c r="F27" s="3">
        <f>IF(Deskriptif!E30="","",Deskriptif!E30)</f>
        <v>7</v>
      </c>
      <c r="G27" s="3">
        <f>IF(Deskriptif!F30="","",Deskriptif!F30)</f>
        <v>10</v>
      </c>
      <c r="H27" s="3">
        <f>IF(Deskriptif!G30="","",Deskriptif!G30)</f>
        <v>6</v>
      </c>
      <c r="I27" s="3">
        <f>IF(Deskriptif!H30="","",Deskriptif!H30)</f>
        <v>8</v>
      </c>
      <c r="J27" s="3">
        <f>IF(Deskriptif!I30="","",Deskriptif!I30)</f>
        <v>5</v>
      </c>
      <c r="K27" s="3">
        <f>IF(Deskriptif!J30="","",Deskriptif!J30)</f>
        <v>8</v>
      </c>
      <c r="L27" s="3">
        <f>IF(Deskriptif!K30="","",Deskriptif!K30)</f>
        <v>11</v>
      </c>
    </row>
    <row r="28" spans="1:12" ht="15" customHeight="1" x14ac:dyDescent="0.2">
      <c r="A28" s="3" t="str">
        <f>Deskriptif!A31</f>
        <v>P14</v>
      </c>
      <c r="B28" s="3">
        <f>Deskriptif!C31</f>
        <v>1</v>
      </c>
      <c r="C28" s="3" t="str">
        <f>Deskriptif!D31</f>
        <v>527</v>
      </c>
      <c r="D28" s="3" t="str">
        <f>IF(C28=Setup!$B$5,Setup!$C$5,Setup!$C$6)</f>
        <v>Ethiopia natural (light roast)</v>
      </c>
      <c r="E28" s="3">
        <f>IF(COUNTA(Deskriptif!E31:K31)&gt;0,1,0)</f>
        <v>1</v>
      </c>
      <c r="F28" s="3">
        <f>IF(Deskriptif!E31="","",Deskriptif!E31)</f>
        <v>7</v>
      </c>
      <c r="G28" s="3">
        <f>IF(Deskriptif!F31="","",Deskriptif!F31)</f>
        <v>8</v>
      </c>
      <c r="H28" s="3">
        <f>IF(Deskriptif!G31="","",Deskriptif!G31)</f>
        <v>11</v>
      </c>
      <c r="I28" s="3">
        <f>IF(Deskriptif!H31="","",Deskriptif!H31)</f>
        <v>6</v>
      </c>
      <c r="J28" s="3">
        <f>IF(Deskriptif!I31="","",Deskriptif!I31)</f>
        <v>10</v>
      </c>
      <c r="K28" s="3">
        <f>IF(Deskriptif!J31="","",Deskriptif!J31)</f>
        <v>6</v>
      </c>
      <c r="L28" s="3">
        <f>IF(Deskriptif!K31="","",Deskriptif!K31)</f>
        <v>8</v>
      </c>
    </row>
    <row r="29" spans="1:12" ht="15" customHeight="1" x14ac:dyDescent="0.2">
      <c r="A29" s="3" t="str">
        <f>Deskriptif!A32</f>
        <v>P14</v>
      </c>
      <c r="B29" s="3">
        <f>Deskriptif!C32</f>
        <v>2</v>
      </c>
      <c r="C29" s="3" t="str">
        <f>Deskriptif!D32</f>
        <v>381</v>
      </c>
      <c r="D29" s="3" t="str">
        <f>IF(C29=Setup!$B$5,Setup!$C$5,Setup!$C$6)</f>
        <v>Robusta Temanggung (dark roast)</v>
      </c>
      <c r="E29" s="3">
        <f>IF(COUNTA(Deskriptif!E32:K32)&gt;0,1,0)</f>
        <v>1</v>
      </c>
      <c r="F29" s="3">
        <f>IF(Deskriptif!E32="","",Deskriptif!E32)</f>
        <v>12</v>
      </c>
      <c r="G29" s="3">
        <f>IF(Deskriptif!F32="","",Deskriptif!F32)</f>
        <v>8</v>
      </c>
      <c r="H29" s="3">
        <f>IF(Deskriptif!G32="","",Deskriptif!G32)</f>
        <v>10</v>
      </c>
      <c r="I29" s="3">
        <f>IF(Deskriptif!H32="","",Deskriptif!H32)</f>
        <v>11</v>
      </c>
      <c r="J29" s="3">
        <f>IF(Deskriptif!I32="","",Deskriptif!I32)</f>
        <v>3</v>
      </c>
      <c r="K29" s="3">
        <f>IF(Deskriptif!J32="","",Deskriptif!J32)</f>
        <v>5</v>
      </c>
      <c r="L29" s="3">
        <f>IF(Deskriptif!K32="","",Deskriptif!K32)</f>
        <v>8</v>
      </c>
    </row>
    <row r="30" spans="1:12" ht="15" customHeight="1" x14ac:dyDescent="0.2">
      <c r="A30" s="3" t="str">
        <f>Deskriptif!A33</f>
        <v>P15</v>
      </c>
      <c r="B30" s="3">
        <f>Deskriptif!C33</f>
        <v>1</v>
      </c>
      <c r="C30" s="3" t="str">
        <f>Deskriptif!D33</f>
        <v>527</v>
      </c>
      <c r="D30" s="3" t="str">
        <f>IF(C30=Setup!$B$5,Setup!$C$5,Setup!$C$6)</f>
        <v>Ethiopia natural (light roast)</v>
      </c>
      <c r="E30" s="3">
        <f>IF(COUNTA(Deskriptif!E33:K33)&gt;0,1,0)</f>
        <v>1</v>
      </c>
      <c r="F30" s="3">
        <f>IF(Deskriptif!E33="","",Deskriptif!E33)</f>
        <v>5</v>
      </c>
      <c r="G30" s="3">
        <f>IF(Deskriptif!F33="","",Deskriptif!F33)</f>
        <v>10</v>
      </c>
      <c r="H30" s="3">
        <f>IF(Deskriptif!G33="","",Deskriptif!G33)</f>
        <v>8</v>
      </c>
      <c r="I30" s="3">
        <f>IF(Deskriptif!H33="","",Deskriptif!H33)</f>
        <v>4</v>
      </c>
      <c r="J30" s="3">
        <f>IF(Deskriptif!I33="","",Deskriptif!I33)</f>
        <v>10</v>
      </c>
      <c r="K30" s="3">
        <f>IF(Deskriptif!J33="","",Deskriptif!J33)</f>
        <v>9</v>
      </c>
      <c r="L30" s="3">
        <f>IF(Deskriptif!K33="","",Deskriptif!K33)</f>
        <v>4</v>
      </c>
    </row>
    <row r="31" spans="1:12" ht="15" customHeight="1" x14ac:dyDescent="0.2">
      <c r="A31" s="3" t="str">
        <f>Deskriptif!A34</f>
        <v>P15</v>
      </c>
      <c r="B31" s="3">
        <f>Deskriptif!C34</f>
        <v>2</v>
      </c>
      <c r="C31" s="3" t="str">
        <f>Deskriptif!D34</f>
        <v>381</v>
      </c>
      <c r="D31" s="3" t="str">
        <f>IF(C31=Setup!$B$5,Setup!$C$5,Setup!$C$6)</f>
        <v>Robusta Temanggung (dark roast)</v>
      </c>
      <c r="E31" s="3">
        <f>IF(COUNTA(Deskriptif!E34:K34)&gt;0,1,0)</f>
        <v>1</v>
      </c>
      <c r="F31" s="3">
        <f>IF(Deskriptif!E34="","",Deskriptif!E34)</f>
        <v>10</v>
      </c>
      <c r="G31" s="3">
        <f>IF(Deskriptif!F34="","",Deskriptif!F34)</f>
        <v>8</v>
      </c>
      <c r="H31" s="3">
        <f>IF(Deskriptif!G34="","",Deskriptif!G34)</f>
        <v>7</v>
      </c>
      <c r="I31" s="3">
        <f>IF(Deskriptif!H34="","",Deskriptif!H34)</f>
        <v>8</v>
      </c>
      <c r="J31" s="3">
        <f>IF(Deskriptif!I34="","",Deskriptif!I34)</f>
        <v>5</v>
      </c>
      <c r="K31" s="3">
        <f>IF(Deskriptif!J34="","",Deskriptif!J34)</f>
        <v>5</v>
      </c>
      <c r="L31" s="3">
        <f>IF(Deskriptif!K34="","",Deskriptif!K34)</f>
        <v>4</v>
      </c>
    </row>
    <row r="32" spans="1:12" ht="15" customHeight="1" x14ac:dyDescent="0.2">
      <c r="A32" s="3" t="str">
        <f>Deskriptif!A35</f>
        <v>P16</v>
      </c>
      <c r="B32" s="3">
        <f>Deskriptif!C35</f>
        <v>1</v>
      </c>
      <c r="C32" s="3" t="str">
        <f>Deskriptif!D35</f>
        <v>527</v>
      </c>
      <c r="D32" s="3" t="str">
        <f>IF(C32=Setup!$B$5,Setup!$C$5,Setup!$C$6)</f>
        <v>Ethiopia natural (light roast)</v>
      </c>
      <c r="E32" s="3">
        <f>IF(COUNTA(Deskriptif!E35:K35)&gt;0,1,0)</f>
        <v>1</v>
      </c>
      <c r="F32" s="3">
        <f>IF(Deskriptif!E35="","",Deskriptif!E35)</f>
        <v>8</v>
      </c>
      <c r="G32" s="3">
        <f>IF(Deskriptif!F35="","",Deskriptif!F35)</f>
        <v>5</v>
      </c>
      <c r="H32" s="3">
        <f>IF(Deskriptif!G35="","",Deskriptif!G35)</f>
        <v>10</v>
      </c>
      <c r="I32" s="3">
        <f>IF(Deskriptif!H35="","",Deskriptif!H35)</f>
        <v>5</v>
      </c>
      <c r="J32" s="3">
        <f>IF(Deskriptif!I35="","",Deskriptif!I35)</f>
        <v>7</v>
      </c>
      <c r="K32" s="3">
        <f>IF(Deskriptif!J35="","",Deskriptif!J35)</f>
        <v>6</v>
      </c>
      <c r="L32" s="3">
        <f>IF(Deskriptif!K35="","",Deskriptif!K35)</f>
        <v>8</v>
      </c>
    </row>
    <row r="33" spans="1:12" ht="15" customHeight="1" x14ac:dyDescent="0.2">
      <c r="A33" s="3" t="str">
        <f>Deskriptif!A36</f>
        <v>P16</v>
      </c>
      <c r="B33" s="3">
        <f>Deskriptif!C36</f>
        <v>2</v>
      </c>
      <c r="C33" s="3" t="str">
        <f>Deskriptif!D36</f>
        <v>381</v>
      </c>
      <c r="D33" s="3" t="str">
        <f>IF(C33=Setup!$B$5,Setup!$C$5,Setup!$C$6)</f>
        <v>Robusta Temanggung (dark roast)</v>
      </c>
      <c r="E33" s="3">
        <f>IF(COUNTA(Deskriptif!E36:K36)&gt;0,1,0)</f>
        <v>1</v>
      </c>
      <c r="F33" s="3">
        <f>IF(Deskriptif!E36="","",Deskriptif!E36)</f>
        <v>7</v>
      </c>
      <c r="G33" s="3">
        <f>IF(Deskriptif!F36="","",Deskriptif!F36)</f>
        <v>12</v>
      </c>
      <c r="H33" s="3">
        <f>IF(Deskriptif!G36="","",Deskriptif!G36)</f>
        <v>9</v>
      </c>
      <c r="I33" s="3">
        <f>IF(Deskriptif!H36="","",Deskriptif!H36)</f>
        <v>7</v>
      </c>
      <c r="J33" s="3">
        <f>IF(Deskriptif!I36="","",Deskriptif!I36)</f>
        <v>6</v>
      </c>
      <c r="K33" s="3">
        <f>IF(Deskriptif!J36="","",Deskriptif!J36)</f>
        <v>1</v>
      </c>
      <c r="L33" s="3">
        <f>IF(Deskriptif!K36="","",Deskriptif!K36)</f>
        <v>9</v>
      </c>
    </row>
    <row r="34" spans="1:12" ht="15" customHeight="1" x14ac:dyDescent="0.2">
      <c r="A34" s="3" t="str">
        <f>Deskriptif!A37</f>
        <v>P17</v>
      </c>
      <c r="B34" s="3">
        <f>Deskriptif!C37</f>
        <v>1</v>
      </c>
      <c r="C34" s="3" t="str">
        <f>Deskriptif!D37</f>
        <v>527</v>
      </c>
      <c r="D34" s="3" t="str">
        <f>IF(C34=Setup!$B$5,Setup!$C$5,Setup!$C$6)</f>
        <v>Ethiopia natural (light roast)</v>
      </c>
      <c r="E34" s="3">
        <f>IF(COUNTA(Deskriptif!E37:K37)&gt;0,1,0)</f>
        <v>1</v>
      </c>
      <c r="F34" s="3">
        <f>IF(Deskriptif!E37="","",Deskriptif!E37)</f>
        <v>7</v>
      </c>
      <c r="G34" s="3">
        <f>IF(Deskriptif!F37="","",Deskriptif!F37)</f>
        <v>4</v>
      </c>
      <c r="H34" s="3">
        <f>IF(Deskriptif!G37="","",Deskriptif!G37)</f>
        <v>8</v>
      </c>
      <c r="I34" s="3">
        <f>IF(Deskriptif!H37="","",Deskriptif!H37)</f>
        <v>7</v>
      </c>
      <c r="J34" s="3">
        <f>IF(Deskriptif!I37="","",Deskriptif!I37)</f>
        <v>10</v>
      </c>
      <c r="K34" s="3">
        <f>IF(Deskriptif!J37="","",Deskriptif!J37)</f>
        <v>7</v>
      </c>
      <c r="L34" s="3">
        <f>IF(Deskriptif!K37="","",Deskriptif!K37)</f>
        <v>9</v>
      </c>
    </row>
    <row r="35" spans="1:12" ht="15" customHeight="1" x14ac:dyDescent="0.2">
      <c r="A35" s="3" t="str">
        <f>Deskriptif!A38</f>
        <v>P17</v>
      </c>
      <c r="B35" s="3">
        <f>Deskriptif!C38</f>
        <v>2</v>
      </c>
      <c r="C35" s="3" t="str">
        <f>Deskriptif!D38</f>
        <v>381</v>
      </c>
      <c r="D35" s="3" t="str">
        <f>IF(C35=Setup!$B$5,Setup!$C$5,Setup!$C$6)</f>
        <v>Robusta Temanggung (dark roast)</v>
      </c>
      <c r="E35" s="3">
        <f>IF(COUNTA(Deskriptif!E38:K38)&gt;0,1,0)</f>
        <v>1</v>
      </c>
      <c r="F35" s="3">
        <f>IF(Deskriptif!E38="","",Deskriptif!E38)</f>
        <v>11</v>
      </c>
      <c r="G35" s="3">
        <f>IF(Deskriptif!F38="","",Deskriptif!F38)</f>
        <v>12</v>
      </c>
      <c r="H35" s="3">
        <f>IF(Deskriptif!G38="","",Deskriptif!G38)</f>
        <v>10</v>
      </c>
      <c r="I35" s="3">
        <f>IF(Deskriptif!H38="","",Deskriptif!H38)</f>
        <v>3</v>
      </c>
      <c r="J35" s="3">
        <f>IF(Deskriptif!I38="","",Deskriptif!I38)</f>
        <v>0</v>
      </c>
      <c r="K35" s="3">
        <f>IF(Deskriptif!J38="","",Deskriptif!J38)</f>
        <v>4</v>
      </c>
      <c r="L35" s="3">
        <f>IF(Deskriptif!K38="","",Deskriptif!K38)</f>
        <v>8</v>
      </c>
    </row>
    <row r="36" spans="1:12" ht="15" customHeight="1" x14ac:dyDescent="0.2">
      <c r="A36" s="3" t="str">
        <f>Deskriptif!A39</f>
        <v>P18</v>
      </c>
      <c r="B36" s="3">
        <f>Deskriptif!C39</f>
        <v>1</v>
      </c>
      <c r="C36" s="3" t="str">
        <f>Deskriptif!D39</f>
        <v>527</v>
      </c>
      <c r="D36" s="3" t="str">
        <f>IF(C36=Setup!$B$5,Setup!$C$5,Setup!$C$6)</f>
        <v>Ethiopia natural (light roast)</v>
      </c>
      <c r="E36" s="3">
        <f>IF(COUNTA(Deskriptif!E39:K39)&gt;0,1,0)</f>
        <v>1</v>
      </c>
      <c r="F36" s="3">
        <f>IF(Deskriptif!E39="","",Deskriptif!E39)</f>
        <v>5</v>
      </c>
      <c r="G36" s="3">
        <f>IF(Deskriptif!F39="","",Deskriptif!F39)</f>
        <v>11</v>
      </c>
      <c r="H36" s="3">
        <f>IF(Deskriptif!G39="","",Deskriptif!G39)</f>
        <v>12</v>
      </c>
      <c r="I36" s="3">
        <f>IF(Deskriptif!H39="","",Deskriptif!H39)</f>
        <v>8</v>
      </c>
      <c r="J36" s="3">
        <f>IF(Deskriptif!I39="","",Deskriptif!I39)</f>
        <v>10</v>
      </c>
      <c r="K36" s="3">
        <f>IF(Deskriptif!J39="","",Deskriptif!J39)</f>
        <v>11</v>
      </c>
      <c r="L36" s="3">
        <f>IF(Deskriptif!K39="","",Deskriptif!K39)</f>
        <v>6</v>
      </c>
    </row>
    <row r="37" spans="1:12" ht="15" customHeight="1" x14ac:dyDescent="0.2">
      <c r="A37" s="3" t="str">
        <f>Deskriptif!A40</f>
        <v>P18</v>
      </c>
      <c r="B37" s="3">
        <f>Deskriptif!C40</f>
        <v>2</v>
      </c>
      <c r="C37" s="3" t="str">
        <f>Deskriptif!D40</f>
        <v>381</v>
      </c>
      <c r="D37" s="3" t="str">
        <f>IF(C37=Setup!$B$5,Setup!$C$5,Setup!$C$6)</f>
        <v>Robusta Temanggung (dark roast)</v>
      </c>
      <c r="E37" s="3">
        <f>IF(COUNTA(Deskriptif!E40:K40)&gt;0,1,0)</f>
        <v>1</v>
      </c>
      <c r="F37" s="3">
        <f>IF(Deskriptif!E40="","",Deskriptif!E40)</f>
        <v>6</v>
      </c>
      <c r="G37" s="3">
        <f>IF(Deskriptif!F40="","",Deskriptif!F40)</f>
        <v>6</v>
      </c>
      <c r="H37" s="3">
        <f>IF(Deskriptif!G40="","",Deskriptif!G40)</f>
        <v>10</v>
      </c>
      <c r="I37" s="3">
        <f>IF(Deskriptif!H40="","",Deskriptif!H40)</f>
        <v>6</v>
      </c>
      <c r="J37" s="3">
        <f>IF(Deskriptif!I40="","",Deskriptif!I40)</f>
        <v>2</v>
      </c>
      <c r="K37" s="3">
        <f>IF(Deskriptif!J40="","",Deskriptif!J40)</f>
        <v>9</v>
      </c>
      <c r="L37" s="3">
        <f>IF(Deskriptif!K40="","",Deskriptif!K40)</f>
        <v>9</v>
      </c>
    </row>
    <row r="38" spans="1:12" ht="15" customHeight="1" x14ac:dyDescent="0.2">
      <c r="A38" s="3" t="str">
        <f>Deskriptif!A41</f>
        <v>P19</v>
      </c>
      <c r="B38" s="3">
        <f>Deskriptif!C41</f>
        <v>1</v>
      </c>
      <c r="C38" s="3" t="str">
        <f>Deskriptif!D41</f>
        <v>527</v>
      </c>
      <c r="D38" s="3" t="str">
        <f>IF(C38=Setup!$B$5,Setup!$C$5,Setup!$C$6)</f>
        <v>Ethiopia natural (light roast)</v>
      </c>
      <c r="E38" s="3">
        <f>IF(COUNTA(Deskriptif!E41:K41)&gt;0,1,0)</f>
        <v>1</v>
      </c>
      <c r="F38" s="3">
        <f>IF(Deskriptif!E41="","",Deskriptif!E41)</f>
        <v>10</v>
      </c>
      <c r="G38" s="3">
        <f>IF(Deskriptif!F41="","",Deskriptif!F41)</f>
        <v>8</v>
      </c>
      <c r="H38" s="3">
        <f>IF(Deskriptif!G41="","",Deskriptif!G41)</f>
        <v>11</v>
      </c>
      <c r="I38" s="3">
        <f>IF(Deskriptif!H41="","",Deskriptif!H41)</f>
        <v>9</v>
      </c>
      <c r="J38" s="3">
        <f>IF(Deskriptif!I41="","",Deskriptif!I41)</f>
        <v>10</v>
      </c>
      <c r="K38" s="3">
        <f>IF(Deskriptif!J41="","",Deskriptif!J41)</f>
        <v>6</v>
      </c>
      <c r="L38" s="3">
        <f>IF(Deskriptif!K41="","",Deskriptif!K41)</f>
        <v>5</v>
      </c>
    </row>
    <row r="39" spans="1:12" ht="15" customHeight="1" x14ac:dyDescent="0.2">
      <c r="A39" s="3" t="str">
        <f>Deskriptif!A42</f>
        <v>P19</v>
      </c>
      <c r="B39" s="3">
        <f>Deskriptif!C42</f>
        <v>2</v>
      </c>
      <c r="C39" s="3" t="str">
        <f>Deskriptif!D42</f>
        <v>381</v>
      </c>
      <c r="D39" s="3" t="str">
        <f>IF(C39=Setup!$B$5,Setup!$C$5,Setup!$C$6)</f>
        <v>Robusta Temanggung (dark roast)</v>
      </c>
      <c r="E39" s="3">
        <f>IF(COUNTA(Deskriptif!E42:K42)&gt;0,1,0)</f>
        <v>1</v>
      </c>
      <c r="F39" s="3">
        <f>IF(Deskriptif!E42="","",Deskriptif!E42)</f>
        <v>10</v>
      </c>
      <c r="G39" s="3">
        <f>IF(Deskriptif!F42="","",Deskriptif!F42)</f>
        <v>10</v>
      </c>
      <c r="H39" s="3">
        <f>IF(Deskriptif!G42="","",Deskriptif!G42)</f>
        <v>9</v>
      </c>
      <c r="I39" s="3">
        <f>IF(Deskriptif!H42="","",Deskriptif!H42)</f>
        <v>9</v>
      </c>
      <c r="J39" s="3">
        <f>IF(Deskriptif!I42="","",Deskriptif!I42)</f>
        <v>4</v>
      </c>
      <c r="K39" s="3">
        <f>IF(Deskriptif!J42="","",Deskriptif!J42)</f>
        <v>2</v>
      </c>
      <c r="L39" s="3">
        <f>IF(Deskriptif!K42="","",Deskriptif!K42)</f>
        <v>12</v>
      </c>
    </row>
    <row r="40" spans="1:12" ht="15" customHeight="1" x14ac:dyDescent="0.2">
      <c r="A40" s="3" t="str">
        <f>Deskriptif!A43</f>
        <v>P20</v>
      </c>
      <c r="B40" s="3">
        <f>Deskriptif!C43</f>
        <v>1</v>
      </c>
      <c r="C40" s="3" t="str">
        <f>Deskriptif!D43</f>
        <v>527</v>
      </c>
      <c r="D40" s="3" t="str">
        <f>IF(C40=Setup!$B$5,Setup!$C$5,Setup!$C$6)</f>
        <v>Ethiopia natural (light roast)</v>
      </c>
      <c r="E40" s="3">
        <f>IF(COUNTA(Deskriptif!E43:K43)&gt;0,1,0)</f>
        <v>1</v>
      </c>
      <c r="F40" s="3">
        <f>IF(Deskriptif!E43="","",Deskriptif!E43)</f>
        <v>3</v>
      </c>
      <c r="G40" s="3">
        <f>IF(Deskriptif!F43="","",Deskriptif!F43)</f>
        <v>8</v>
      </c>
      <c r="H40" s="3">
        <f>IF(Deskriptif!G43="","",Deskriptif!G43)</f>
        <v>9</v>
      </c>
      <c r="I40" s="3">
        <f>IF(Deskriptif!H43="","",Deskriptif!H43)</f>
        <v>6</v>
      </c>
      <c r="J40" s="3">
        <f>IF(Deskriptif!I43="","",Deskriptif!I43)</f>
        <v>11</v>
      </c>
      <c r="K40" s="3">
        <f>IF(Deskriptif!J43="","",Deskriptif!J43)</f>
        <v>9</v>
      </c>
      <c r="L40" s="3">
        <f>IF(Deskriptif!K43="","",Deskriptif!K43)</f>
        <v>10</v>
      </c>
    </row>
    <row r="41" spans="1:12" ht="15" customHeight="1" x14ac:dyDescent="0.2">
      <c r="A41" s="3" t="str">
        <f>Deskriptif!A44</f>
        <v>P20</v>
      </c>
      <c r="B41" s="3">
        <f>Deskriptif!C44</f>
        <v>2</v>
      </c>
      <c r="C41" s="3" t="str">
        <f>Deskriptif!D44</f>
        <v>381</v>
      </c>
      <c r="D41" s="3" t="str">
        <f>IF(C41=Setup!$B$5,Setup!$C$5,Setup!$C$6)</f>
        <v>Robusta Temanggung (dark roast)</v>
      </c>
      <c r="E41" s="3">
        <f>IF(COUNTA(Deskriptif!E44:K44)&gt;0,1,0)</f>
        <v>1</v>
      </c>
      <c r="F41" s="3">
        <f>IF(Deskriptif!E44="","",Deskriptif!E44)</f>
        <v>15</v>
      </c>
      <c r="G41" s="3">
        <f>IF(Deskriptif!F44="","",Deskriptif!F44)</f>
        <v>11</v>
      </c>
      <c r="H41" s="3">
        <f>IF(Deskriptif!G44="","",Deskriptif!G44)</f>
        <v>8</v>
      </c>
      <c r="I41" s="3">
        <f>IF(Deskriptif!H44="","",Deskriptif!H44)</f>
        <v>9</v>
      </c>
      <c r="J41" s="3">
        <f>IF(Deskriptif!I44="","",Deskriptif!I44)</f>
        <v>5</v>
      </c>
      <c r="K41" s="3">
        <f>IF(Deskriptif!J44="","",Deskriptif!J44)</f>
        <v>6</v>
      </c>
      <c r="L41" s="3">
        <f>IF(Deskriptif!K44="","",Deskriptif!K44)</f>
        <v>7</v>
      </c>
    </row>
    <row r="42" spans="1:12" ht="15" customHeight="1" x14ac:dyDescent="0.2">
      <c r="A42" s="3" t="str">
        <f>Deskriptif!A45</f>
        <v>P21</v>
      </c>
      <c r="B42" s="3">
        <f>Deskriptif!C45</f>
        <v>1</v>
      </c>
      <c r="C42" s="3" t="str">
        <f>Deskriptif!D45</f>
        <v>527</v>
      </c>
      <c r="D42" s="3" t="str">
        <f>IF(C42=Setup!$B$5,Setup!$C$5,Setup!$C$6)</f>
        <v>Ethiopia natural (light roast)</v>
      </c>
      <c r="E42" s="3">
        <f>IF(COUNTA(Deskriptif!E45:K45)&gt;0,1,0)</f>
        <v>1</v>
      </c>
      <c r="F42" s="3">
        <f>IF(Deskriptif!E45="","",Deskriptif!E45)</f>
        <v>9</v>
      </c>
      <c r="G42" s="3">
        <f>IF(Deskriptif!F45="","",Deskriptif!F45)</f>
        <v>8</v>
      </c>
      <c r="H42" s="3">
        <f>IF(Deskriptif!G45="","",Deskriptif!G45)</f>
        <v>8</v>
      </c>
      <c r="I42" s="3">
        <f>IF(Deskriptif!H45="","",Deskriptif!H45)</f>
        <v>8</v>
      </c>
      <c r="J42" s="3">
        <f>IF(Deskriptif!I45="","",Deskriptif!I45)</f>
        <v>12</v>
      </c>
      <c r="K42" s="3">
        <f>IF(Deskriptif!J45="","",Deskriptif!J45)</f>
        <v>3</v>
      </c>
      <c r="L42" s="3">
        <f>IF(Deskriptif!K45="","",Deskriptif!K45)</f>
        <v>8</v>
      </c>
    </row>
    <row r="43" spans="1:12" ht="15" customHeight="1" x14ac:dyDescent="0.2">
      <c r="A43" s="3" t="str">
        <f>Deskriptif!A46</f>
        <v>P21</v>
      </c>
      <c r="B43" s="3">
        <f>Deskriptif!C46</f>
        <v>2</v>
      </c>
      <c r="C43" s="3" t="str">
        <f>Deskriptif!D46</f>
        <v>381</v>
      </c>
      <c r="D43" s="3" t="str">
        <f>IF(C43=Setup!$B$5,Setup!$C$5,Setup!$C$6)</f>
        <v>Robusta Temanggung (dark roast)</v>
      </c>
      <c r="E43" s="3">
        <f>IF(COUNTA(Deskriptif!E46:K46)&gt;0,1,0)</f>
        <v>1</v>
      </c>
      <c r="F43" s="3">
        <f>IF(Deskriptif!E46="","",Deskriptif!E46)</f>
        <v>8</v>
      </c>
      <c r="G43" s="3">
        <f>IF(Deskriptif!F46="","",Deskriptif!F46)</f>
        <v>6</v>
      </c>
      <c r="H43" s="3">
        <f>IF(Deskriptif!G46="","",Deskriptif!G46)</f>
        <v>8</v>
      </c>
      <c r="I43" s="3">
        <f>IF(Deskriptif!H46="","",Deskriptif!H46)</f>
        <v>10</v>
      </c>
      <c r="J43" s="3">
        <f>IF(Deskriptif!I46="","",Deskriptif!I46)</f>
        <v>7</v>
      </c>
      <c r="K43" s="3">
        <f>IF(Deskriptif!J46="","",Deskriptif!J46)</f>
        <v>7</v>
      </c>
      <c r="L43" s="3">
        <f>IF(Deskriptif!K46="","",Deskriptif!K46)</f>
        <v>8</v>
      </c>
    </row>
    <row r="44" spans="1:12" ht="15" customHeight="1" x14ac:dyDescent="0.2">
      <c r="A44" s="3" t="str">
        <f>Deskriptif!A47</f>
        <v>P22</v>
      </c>
      <c r="B44" s="3">
        <f>Deskriptif!C47</f>
        <v>1</v>
      </c>
      <c r="C44" s="3" t="str">
        <f>Deskriptif!D47</f>
        <v>527</v>
      </c>
      <c r="D44" s="3" t="str">
        <f>IF(C44=Setup!$B$5,Setup!$C$5,Setup!$C$6)</f>
        <v>Ethiopia natural (light roast)</v>
      </c>
      <c r="E44" s="3">
        <f>IF(COUNTA(Deskriptif!E47:K47)&gt;0,1,0)</f>
        <v>1</v>
      </c>
      <c r="F44" s="3">
        <f>IF(Deskriptif!E47="","",Deskriptif!E47)</f>
        <v>8</v>
      </c>
      <c r="G44" s="3">
        <f>IF(Deskriptif!F47="","",Deskriptif!F47)</f>
        <v>9</v>
      </c>
      <c r="H44" s="3">
        <f>IF(Deskriptif!G47="","",Deskriptif!G47)</f>
        <v>8</v>
      </c>
      <c r="I44" s="3">
        <f>IF(Deskriptif!H47="","",Deskriptif!H47)</f>
        <v>5</v>
      </c>
      <c r="J44" s="3">
        <f>IF(Deskriptif!I47="","",Deskriptif!I47)</f>
        <v>9</v>
      </c>
      <c r="K44" s="3">
        <f>IF(Deskriptif!J47="","",Deskriptif!J47)</f>
        <v>6</v>
      </c>
      <c r="L44" s="3">
        <f>IF(Deskriptif!K47="","",Deskriptif!K47)</f>
        <v>13</v>
      </c>
    </row>
    <row r="45" spans="1:12" ht="15" customHeight="1" x14ac:dyDescent="0.2">
      <c r="A45" s="3" t="str">
        <f>Deskriptif!A48</f>
        <v>P22</v>
      </c>
      <c r="B45" s="3">
        <f>Deskriptif!C48</f>
        <v>2</v>
      </c>
      <c r="C45" s="3" t="str">
        <f>Deskriptif!D48</f>
        <v>381</v>
      </c>
      <c r="D45" s="3" t="str">
        <f>IF(C45=Setup!$B$5,Setup!$C$5,Setup!$C$6)</f>
        <v>Robusta Temanggung (dark roast)</v>
      </c>
      <c r="E45" s="3">
        <f>IF(COUNTA(Deskriptif!E48:K48)&gt;0,1,0)</f>
        <v>1</v>
      </c>
      <c r="F45" s="3">
        <f>IF(Deskriptif!E48="","",Deskriptif!E48)</f>
        <v>9</v>
      </c>
      <c r="G45" s="3">
        <f>IF(Deskriptif!F48="","",Deskriptif!F48)</f>
        <v>8</v>
      </c>
      <c r="H45" s="3">
        <f>IF(Deskriptif!G48="","",Deskriptif!G48)</f>
        <v>5</v>
      </c>
      <c r="I45" s="3">
        <f>IF(Deskriptif!H48="","",Deskriptif!H48)</f>
        <v>7</v>
      </c>
      <c r="J45" s="3">
        <f>IF(Deskriptif!I48="","",Deskriptif!I48)</f>
        <v>3</v>
      </c>
      <c r="K45" s="3">
        <f>IF(Deskriptif!J48="","",Deskriptif!J48)</f>
        <v>4</v>
      </c>
      <c r="L45" s="3">
        <f>IF(Deskriptif!K48="","",Deskriptif!K48)</f>
        <v>7</v>
      </c>
    </row>
    <row r="46" spans="1:12" ht="15" customHeight="1" x14ac:dyDescent="0.2">
      <c r="A46" s="3" t="str">
        <f>Deskriptif!A49</f>
        <v>P23</v>
      </c>
      <c r="B46" s="3">
        <f>Deskriptif!C49</f>
        <v>1</v>
      </c>
      <c r="C46" s="3" t="str">
        <f>Deskriptif!D49</f>
        <v>527</v>
      </c>
      <c r="D46" s="3" t="str">
        <f>IF(C46=Setup!$B$5,Setup!$C$5,Setup!$C$6)</f>
        <v>Ethiopia natural (light roast)</v>
      </c>
      <c r="E46" s="3">
        <f>IF(COUNTA(Deskriptif!E49:K49)&gt;0,1,0)</f>
        <v>1</v>
      </c>
      <c r="F46" s="3">
        <f>IF(Deskriptif!E49="","",Deskriptif!E49)</f>
        <v>8</v>
      </c>
      <c r="G46" s="3">
        <f>IF(Deskriptif!F49="","",Deskriptif!F49)</f>
        <v>10</v>
      </c>
      <c r="H46" s="3">
        <f>IF(Deskriptif!G49="","",Deskriptif!G49)</f>
        <v>8</v>
      </c>
      <c r="I46" s="3">
        <f>IF(Deskriptif!H49="","",Deskriptif!H49)</f>
        <v>9</v>
      </c>
      <c r="J46" s="3">
        <f>IF(Deskriptif!I49="","",Deskriptif!I49)</f>
        <v>8</v>
      </c>
      <c r="K46" s="3">
        <f>IF(Deskriptif!J49="","",Deskriptif!J49)</f>
        <v>5</v>
      </c>
      <c r="L46" s="3">
        <f>IF(Deskriptif!K49="","",Deskriptif!K49)</f>
        <v>10</v>
      </c>
    </row>
    <row r="47" spans="1:12" ht="15" customHeight="1" x14ac:dyDescent="0.2">
      <c r="A47" s="3" t="str">
        <f>Deskriptif!A50</f>
        <v>P23</v>
      </c>
      <c r="B47" s="3">
        <f>Deskriptif!C50</f>
        <v>2</v>
      </c>
      <c r="C47" s="3" t="str">
        <f>Deskriptif!D50</f>
        <v>381</v>
      </c>
      <c r="D47" s="3" t="str">
        <f>IF(C47=Setup!$B$5,Setup!$C$5,Setup!$C$6)</f>
        <v>Robusta Temanggung (dark roast)</v>
      </c>
      <c r="E47" s="3">
        <f>IF(COUNTA(Deskriptif!E50:K50)&gt;0,1,0)</f>
        <v>1</v>
      </c>
      <c r="F47" s="3">
        <f>IF(Deskriptif!E50="","",Deskriptif!E50)</f>
        <v>11</v>
      </c>
      <c r="G47" s="3">
        <f>IF(Deskriptif!F50="","",Deskriptif!F50)</f>
        <v>10</v>
      </c>
      <c r="H47" s="3">
        <f>IF(Deskriptif!G50="","",Deskriptif!G50)</f>
        <v>8</v>
      </c>
      <c r="I47" s="3">
        <f>IF(Deskriptif!H50="","",Deskriptif!H50)</f>
        <v>9</v>
      </c>
      <c r="J47" s="3">
        <f>IF(Deskriptif!I50="","",Deskriptif!I50)</f>
        <v>6</v>
      </c>
      <c r="K47" s="3">
        <f>IF(Deskriptif!J50="","",Deskriptif!J50)</f>
        <v>2</v>
      </c>
      <c r="L47" s="3">
        <f>IF(Deskriptif!K50="","",Deskriptif!K50)</f>
        <v>11</v>
      </c>
    </row>
    <row r="48" spans="1:12" ht="15" customHeight="1" x14ac:dyDescent="0.2">
      <c r="A48" s="3" t="str">
        <f>Deskriptif!A51</f>
        <v>P24</v>
      </c>
      <c r="B48" s="3">
        <f>Deskriptif!C51</f>
        <v>1</v>
      </c>
      <c r="C48" s="3" t="str">
        <f>Deskriptif!D51</f>
        <v>527</v>
      </c>
      <c r="D48" s="3" t="str">
        <f>IF(C48=Setup!$B$5,Setup!$C$5,Setup!$C$6)</f>
        <v>Ethiopia natural (light roast)</v>
      </c>
      <c r="E48" s="3">
        <f>IF(COUNTA(Deskriptif!E51:K51)&gt;0,1,0)</f>
        <v>1</v>
      </c>
      <c r="F48" s="3">
        <f>IF(Deskriptif!E51="","",Deskriptif!E51)</f>
        <v>6</v>
      </c>
      <c r="G48" s="3">
        <f>IF(Deskriptif!F51="","",Deskriptif!F51)</f>
        <v>4</v>
      </c>
      <c r="H48" s="3">
        <f>IF(Deskriptif!G51="","",Deskriptif!G51)</f>
        <v>6</v>
      </c>
      <c r="I48" s="3">
        <f>IF(Deskriptif!H51="","",Deskriptif!H51)</f>
        <v>2</v>
      </c>
      <c r="J48" s="3">
        <f>IF(Deskriptif!I51="","",Deskriptif!I51)</f>
        <v>10</v>
      </c>
      <c r="K48" s="3">
        <f>IF(Deskriptif!J51="","",Deskriptif!J51)</f>
        <v>7</v>
      </c>
      <c r="L48" s="3">
        <f>IF(Deskriptif!K51="","",Deskriptif!K51)</f>
        <v>9</v>
      </c>
    </row>
    <row r="49" spans="1:12" ht="15" customHeight="1" x14ac:dyDescent="0.2">
      <c r="A49" s="3" t="str">
        <f>Deskriptif!A52</f>
        <v>P24</v>
      </c>
      <c r="B49" s="3">
        <f>Deskriptif!C52</f>
        <v>2</v>
      </c>
      <c r="C49" s="3" t="str">
        <f>Deskriptif!D52</f>
        <v>381</v>
      </c>
      <c r="D49" s="3" t="str">
        <f>IF(C49=Setup!$B$5,Setup!$C$5,Setup!$C$6)</f>
        <v>Robusta Temanggung (dark roast)</v>
      </c>
      <c r="E49" s="3">
        <f>IF(COUNTA(Deskriptif!E52:K52)&gt;0,1,0)</f>
        <v>1</v>
      </c>
      <c r="F49" s="3">
        <f>IF(Deskriptif!E52="","",Deskriptif!E52)</f>
        <v>12</v>
      </c>
      <c r="G49" s="3">
        <f>IF(Deskriptif!F52="","",Deskriptif!F52)</f>
        <v>12</v>
      </c>
      <c r="H49" s="3">
        <f>IF(Deskriptif!G52="","",Deskriptif!G52)</f>
        <v>5</v>
      </c>
      <c r="I49" s="3">
        <f>IF(Deskriptif!H52="","",Deskriptif!H52)</f>
        <v>6</v>
      </c>
      <c r="J49" s="3">
        <f>IF(Deskriptif!I52="","",Deskriptif!I52)</f>
        <v>6</v>
      </c>
      <c r="K49" s="3">
        <f>IF(Deskriptif!J52="","",Deskriptif!J52)</f>
        <v>4</v>
      </c>
      <c r="L49" s="3">
        <f>IF(Deskriptif!K52="","",Deskriptif!K52)</f>
        <v>10</v>
      </c>
    </row>
    <row r="50" spans="1:12" ht="15" customHeight="1" x14ac:dyDescent="0.2">
      <c r="A50" s="3" t="str">
        <f>Deskriptif!A53</f>
        <v>P25</v>
      </c>
      <c r="B50" s="3">
        <f>Deskriptif!C53</f>
        <v>1</v>
      </c>
      <c r="C50" s="3" t="str">
        <f>Deskriptif!D53</f>
        <v>527</v>
      </c>
      <c r="D50" s="3" t="str">
        <f>IF(C50=Setup!$B$5,Setup!$C$5,Setup!$C$6)</f>
        <v>Ethiopia natural (light roast)</v>
      </c>
      <c r="E50" s="3">
        <f>IF(COUNTA(Deskriptif!E53:K53)&gt;0,1,0)</f>
        <v>1</v>
      </c>
      <c r="F50" s="3">
        <f>IF(Deskriptif!E53="","",Deskriptif!E53)</f>
        <v>6</v>
      </c>
      <c r="G50" s="3">
        <f>IF(Deskriptif!F53="","",Deskriptif!F53)</f>
        <v>11</v>
      </c>
      <c r="H50" s="3">
        <f>IF(Deskriptif!G53="","",Deskriptif!G53)</f>
        <v>5</v>
      </c>
      <c r="I50" s="3">
        <f>IF(Deskriptif!H53="","",Deskriptif!H53)</f>
        <v>11</v>
      </c>
      <c r="J50" s="3">
        <f>IF(Deskriptif!I53="","",Deskriptif!I53)</f>
        <v>11</v>
      </c>
      <c r="K50" s="3">
        <f>IF(Deskriptif!J53="","",Deskriptif!J53)</f>
        <v>12</v>
      </c>
      <c r="L50" s="3">
        <f>IF(Deskriptif!K53="","",Deskriptif!K53)</f>
        <v>6</v>
      </c>
    </row>
    <row r="51" spans="1:12" ht="15" customHeight="1" x14ac:dyDescent="0.2">
      <c r="A51" s="3" t="str">
        <f>Deskriptif!A54</f>
        <v>P25</v>
      </c>
      <c r="B51" s="3">
        <f>Deskriptif!C54</f>
        <v>2</v>
      </c>
      <c r="C51" s="3" t="str">
        <f>Deskriptif!D54</f>
        <v>381</v>
      </c>
      <c r="D51" s="3" t="str">
        <f>IF(C51=Setup!$B$5,Setup!$C$5,Setup!$C$6)</f>
        <v>Robusta Temanggung (dark roast)</v>
      </c>
      <c r="E51" s="3">
        <f>IF(COUNTA(Deskriptif!E54:K54)&gt;0,1,0)</f>
        <v>1</v>
      </c>
      <c r="F51" s="3">
        <f>IF(Deskriptif!E54="","",Deskriptif!E54)</f>
        <v>8</v>
      </c>
      <c r="G51" s="3">
        <f>IF(Deskriptif!F54="","",Deskriptif!F54)</f>
        <v>12</v>
      </c>
      <c r="H51" s="3">
        <f>IF(Deskriptif!G54="","",Deskriptif!G54)</f>
        <v>7</v>
      </c>
      <c r="I51" s="3">
        <f>IF(Deskriptif!H54="","",Deskriptif!H54)</f>
        <v>11</v>
      </c>
      <c r="J51" s="3">
        <f>IF(Deskriptif!I54="","",Deskriptif!I54)</f>
        <v>1</v>
      </c>
      <c r="K51" s="3">
        <f>IF(Deskriptif!J54="","",Deskriptif!J54)</f>
        <v>6</v>
      </c>
      <c r="L51" s="3">
        <f>IF(Deskriptif!K54="","",Deskriptif!K54)</f>
        <v>10</v>
      </c>
    </row>
    <row r="52" spans="1:12" ht="15" customHeight="1" x14ac:dyDescent="0.2">
      <c r="A52" s="3" t="str">
        <f>Deskriptif!A55</f>
        <v>P26</v>
      </c>
      <c r="B52" s="3">
        <f>Deskriptif!C55</f>
        <v>1</v>
      </c>
      <c r="C52" s="3" t="str">
        <f>Deskriptif!D55</f>
        <v>527</v>
      </c>
      <c r="D52" s="3" t="str">
        <f>IF(C52=Setup!$B$5,Setup!$C$5,Setup!$C$6)</f>
        <v>Ethiopia natural (light roast)</v>
      </c>
      <c r="E52" s="3">
        <f>IF(COUNTA(Deskriptif!E55:K55)&gt;0,1,0)</f>
        <v>1</v>
      </c>
      <c r="F52" s="3">
        <f>IF(Deskriptif!E55="","",Deskriptif!E55)</f>
        <v>10</v>
      </c>
      <c r="G52" s="3">
        <f>IF(Deskriptif!F55="","",Deskriptif!F55)</f>
        <v>7</v>
      </c>
      <c r="H52" s="3">
        <f>IF(Deskriptif!G55="","",Deskriptif!G55)</f>
        <v>6</v>
      </c>
      <c r="I52" s="3">
        <f>IF(Deskriptif!H55="","",Deskriptif!H55)</f>
        <v>7</v>
      </c>
      <c r="J52" s="3">
        <f>IF(Deskriptif!I55="","",Deskriptif!I55)</f>
        <v>11</v>
      </c>
      <c r="K52" s="3">
        <f>IF(Deskriptif!J55="","",Deskriptif!J55)</f>
        <v>5</v>
      </c>
      <c r="L52" s="3">
        <f>IF(Deskriptif!K55="","",Deskriptif!K55)</f>
        <v>7</v>
      </c>
    </row>
    <row r="53" spans="1:12" ht="15" customHeight="1" x14ac:dyDescent="0.2">
      <c r="A53" s="3" t="str">
        <f>Deskriptif!A56</f>
        <v>P26</v>
      </c>
      <c r="B53" s="3">
        <f>Deskriptif!C56</f>
        <v>2</v>
      </c>
      <c r="C53" s="3" t="str">
        <f>Deskriptif!D56</f>
        <v>381</v>
      </c>
      <c r="D53" s="3" t="str">
        <f>IF(C53=Setup!$B$5,Setup!$C$5,Setup!$C$6)</f>
        <v>Robusta Temanggung (dark roast)</v>
      </c>
      <c r="E53" s="3">
        <f>IF(COUNTA(Deskriptif!E56:K56)&gt;0,1,0)</f>
        <v>1</v>
      </c>
      <c r="F53" s="3">
        <f>IF(Deskriptif!E56="","",Deskriptif!E56)</f>
        <v>12</v>
      </c>
      <c r="G53" s="3">
        <f>IF(Deskriptif!F56="","",Deskriptif!F56)</f>
        <v>7</v>
      </c>
      <c r="H53" s="3">
        <f>IF(Deskriptif!G56="","",Deskriptif!G56)</f>
        <v>10</v>
      </c>
      <c r="I53" s="3">
        <f>IF(Deskriptif!H56="","",Deskriptif!H56)</f>
        <v>8</v>
      </c>
      <c r="J53" s="3">
        <f>IF(Deskriptif!I56="","",Deskriptif!I56)</f>
        <v>7</v>
      </c>
      <c r="K53" s="3">
        <f>IF(Deskriptif!J56="","",Deskriptif!J56)</f>
        <v>7</v>
      </c>
      <c r="L53" s="3">
        <f>IF(Deskriptif!K56="","",Deskriptif!K56)</f>
        <v>10</v>
      </c>
    </row>
    <row r="54" spans="1:12" ht="15" customHeight="1" x14ac:dyDescent="0.2">
      <c r="A54" s="3" t="str">
        <f>Deskriptif!A57</f>
        <v>P27</v>
      </c>
      <c r="B54" s="3">
        <f>Deskriptif!C57</f>
        <v>1</v>
      </c>
      <c r="C54" s="3" t="str">
        <f>Deskriptif!D57</f>
        <v>527</v>
      </c>
      <c r="D54" s="3" t="str">
        <f>IF(C54=Setup!$B$5,Setup!$C$5,Setup!$C$6)</f>
        <v>Ethiopia natural (light roast)</v>
      </c>
      <c r="E54" s="3">
        <f>IF(COUNTA(Deskriptif!E57:K57)&gt;0,1,0)</f>
        <v>1</v>
      </c>
      <c r="F54" s="3">
        <f>IF(Deskriptif!E57="","",Deskriptif!E57)</f>
        <v>10</v>
      </c>
      <c r="G54" s="3">
        <f>IF(Deskriptif!F57="","",Deskriptif!F57)</f>
        <v>9</v>
      </c>
      <c r="H54" s="3">
        <f>IF(Deskriptif!G57="","",Deskriptif!G57)</f>
        <v>8</v>
      </c>
      <c r="I54" s="3">
        <f>IF(Deskriptif!H57="","",Deskriptif!H57)</f>
        <v>8</v>
      </c>
      <c r="J54" s="3">
        <f>IF(Deskriptif!I57="","",Deskriptif!I57)</f>
        <v>10</v>
      </c>
      <c r="K54" s="3">
        <f>IF(Deskriptif!J57="","",Deskriptif!J57)</f>
        <v>7</v>
      </c>
      <c r="L54" s="3">
        <f>IF(Deskriptif!K57="","",Deskriptif!K57)</f>
        <v>10</v>
      </c>
    </row>
    <row r="55" spans="1:12" ht="15" customHeight="1" x14ac:dyDescent="0.2">
      <c r="A55" s="3" t="str">
        <f>Deskriptif!A58</f>
        <v>P27</v>
      </c>
      <c r="B55" s="3">
        <f>Deskriptif!C58</f>
        <v>2</v>
      </c>
      <c r="C55" s="3" t="str">
        <f>Deskriptif!D58</f>
        <v>381</v>
      </c>
      <c r="D55" s="3" t="str">
        <f>IF(C55=Setup!$B$5,Setup!$C$5,Setup!$C$6)</f>
        <v>Robusta Temanggung (dark roast)</v>
      </c>
      <c r="E55" s="3">
        <f>IF(COUNTA(Deskriptif!E58:K58)&gt;0,1,0)</f>
        <v>1</v>
      </c>
      <c r="F55" s="3">
        <f>IF(Deskriptif!E58="","",Deskriptif!E58)</f>
        <v>10</v>
      </c>
      <c r="G55" s="3">
        <f>IF(Deskriptif!F58="","",Deskriptif!F58)</f>
        <v>8</v>
      </c>
      <c r="H55" s="3">
        <f>IF(Deskriptif!G58="","",Deskriptif!G58)</f>
        <v>9</v>
      </c>
      <c r="I55" s="3">
        <f>IF(Deskriptif!H58="","",Deskriptif!H58)</f>
        <v>8</v>
      </c>
      <c r="J55" s="3">
        <f>IF(Deskriptif!I58="","",Deskriptif!I58)</f>
        <v>3</v>
      </c>
      <c r="K55" s="3">
        <f>IF(Deskriptif!J58="","",Deskriptif!J58)</f>
        <v>0</v>
      </c>
      <c r="L55" s="3">
        <f>IF(Deskriptif!K58="","",Deskriptif!K58)</f>
        <v>11</v>
      </c>
    </row>
    <row r="56" spans="1:12" ht="15" customHeight="1" x14ac:dyDescent="0.2">
      <c r="A56" s="3" t="str">
        <f>Deskriptif!A59</f>
        <v>P28</v>
      </c>
      <c r="B56" s="3">
        <f>Deskriptif!C59</f>
        <v>1</v>
      </c>
      <c r="C56" s="3" t="str">
        <f>Deskriptif!D59</f>
        <v>527</v>
      </c>
      <c r="D56" s="3" t="str">
        <f>IF(C56=Setup!$B$5,Setup!$C$5,Setup!$C$6)</f>
        <v>Ethiopia natural (light roast)</v>
      </c>
      <c r="E56" s="3">
        <f>IF(COUNTA(Deskriptif!E59:K59)&gt;0,1,0)</f>
        <v>1</v>
      </c>
      <c r="F56" s="3">
        <f>IF(Deskriptif!E59="","",Deskriptif!E59)</f>
        <v>5</v>
      </c>
      <c r="G56" s="3">
        <f>IF(Deskriptif!F59="","",Deskriptif!F59)</f>
        <v>11</v>
      </c>
      <c r="H56" s="3">
        <f>IF(Deskriptif!G59="","",Deskriptif!G59)</f>
        <v>9</v>
      </c>
      <c r="I56" s="3">
        <f>IF(Deskriptif!H59="","",Deskriptif!H59)</f>
        <v>10</v>
      </c>
      <c r="J56" s="3">
        <f>IF(Deskriptif!I59="","",Deskriptif!I59)</f>
        <v>12</v>
      </c>
      <c r="K56" s="3">
        <f>IF(Deskriptif!J59="","",Deskriptif!J59)</f>
        <v>6</v>
      </c>
      <c r="L56" s="3">
        <f>IF(Deskriptif!K59="","",Deskriptif!K59)</f>
        <v>8</v>
      </c>
    </row>
    <row r="57" spans="1:12" ht="15" customHeight="1" x14ac:dyDescent="0.2">
      <c r="A57" s="3" t="str">
        <f>Deskriptif!A60</f>
        <v>P28</v>
      </c>
      <c r="B57" s="3">
        <f>Deskriptif!C60</f>
        <v>2</v>
      </c>
      <c r="C57" s="3" t="str">
        <f>Deskriptif!D60</f>
        <v>381</v>
      </c>
      <c r="D57" s="3" t="str">
        <f>IF(C57=Setup!$B$5,Setup!$C$5,Setup!$C$6)</f>
        <v>Robusta Temanggung (dark roast)</v>
      </c>
      <c r="E57" s="3">
        <f>IF(COUNTA(Deskriptif!E60:K60)&gt;0,1,0)</f>
        <v>1</v>
      </c>
      <c r="F57" s="3">
        <f>IF(Deskriptif!E60="","",Deskriptif!E60)</f>
        <v>9</v>
      </c>
      <c r="G57" s="3">
        <f>IF(Deskriptif!F60="","",Deskriptif!F60)</f>
        <v>11</v>
      </c>
      <c r="H57" s="3">
        <f>IF(Deskriptif!G60="","",Deskriptif!G60)</f>
        <v>11</v>
      </c>
      <c r="I57" s="3">
        <f>IF(Deskriptif!H60="","",Deskriptif!H60)</f>
        <v>7</v>
      </c>
      <c r="J57" s="3">
        <f>IF(Deskriptif!I60="","",Deskriptif!I60)</f>
        <v>3</v>
      </c>
      <c r="K57" s="3">
        <f>IF(Deskriptif!J60="","",Deskriptif!J60)</f>
        <v>4</v>
      </c>
      <c r="L57" s="3">
        <f>IF(Deskriptif!K60="","",Deskriptif!K60)</f>
        <v>7</v>
      </c>
    </row>
    <row r="58" spans="1:12" ht="15" customHeight="1" x14ac:dyDescent="0.2">
      <c r="A58" s="3" t="str">
        <f>Deskriptif!A61</f>
        <v>P29</v>
      </c>
      <c r="B58" s="3">
        <f>Deskriptif!C61</f>
        <v>1</v>
      </c>
      <c r="C58" s="3" t="str">
        <f>Deskriptif!D61</f>
        <v>527</v>
      </c>
      <c r="D58" s="3" t="str">
        <f>IF(C58=Setup!$B$5,Setup!$C$5,Setup!$C$6)</f>
        <v>Ethiopia natural (light roast)</v>
      </c>
      <c r="E58" s="3">
        <f>IF(COUNTA(Deskriptif!E61:K61)&gt;0,1,0)</f>
        <v>1</v>
      </c>
      <c r="F58" s="3">
        <f>IF(Deskriptif!E61="","",Deskriptif!E61)</f>
        <v>7</v>
      </c>
      <c r="G58" s="3">
        <f>IF(Deskriptif!F61="","",Deskriptif!F61)</f>
        <v>7</v>
      </c>
      <c r="H58" s="3">
        <f>IF(Deskriptif!G61="","",Deskriptif!G61)</f>
        <v>10</v>
      </c>
      <c r="I58" s="3">
        <f>IF(Deskriptif!H61="","",Deskriptif!H61)</f>
        <v>9</v>
      </c>
      <c r="J58" s="3">
        <f>IF(Deskriptif!I61="","",Deskriptif!I61)</f>
        <v>11</v>
      </c>
      <c r="K58" s="3">
        <f>IF(Deskriptif!J61="","",Deskriptif!J61)</f>
        <v>5</v>
      </c>
      <c r="L58" s="3">
        <f>IF(Deskriptif!K61="","",Deskriptif!K61)</f>
        <v>7</v>
      </c>
    </row>
    <row r="59" spans="1:12" ht="15" customHeight="1" x14ac:dyDescent="0.2">
      <c r="A59" s="3" t="str">
        <f>Deskriptif!A62</f>
        <v>P29</v>
      </c>
      <c r="B59" s="3">
        <f>Deskriptif!C62</f>
        <v>2</v>
      </c>
      <c r="C59" s="3" t="str">
        <f>Deskriptif!D62</f>
        <v>381</v>
      </c>
      <c r="D59" s="3" t="str">
        <f>IF(C59=Setup!$B$5,Setup!$C$5,Setup!$C$6)</f>
        <v>Robusta Temanggung (dark roast)</v>
      </c>
      <c r="E59" s="3">
        <f>IF(COUNTA(Deskriptif!E62:K62)&gt;0,1,0)</f>
        <v>1</v>
      </c>
      <c r="F59" s="3">
        <f>IF(Deskriptif!E62="","",Deskriptif!E62)</f>
        <v>10</v>
      </c>
      <c r="G59" s="3">
        <f>IF(Deskriptif!F62="","",Deskriptif!F62)</f>
        <v>6</v>
      </c>
      <c r="H59" s="3">
        <f>IF(Deskriptif!G62="","",Deskriptif!G62)</f>
        <v>10</v>
      </c>
      <c r="I59" s="3">
        <f>IF(Deskriptif!H62="","",Deskriptif!H62)</f>
        <v>7</v>
      </c>
      <c r="J59" s="3">
        <f>IF(Deskriptif!I62="","",Deskriptif!I62)</f>
        <v>5</v>
      </c>
      <c r="K59" s="3">
        <f>IF(Deskriptif!J62="","",Deskriptif!J62)</f>
        <v>8</v>
      </c>
      <c r="L59" s="3">
        <f>IF(Deskriptif!K62="","",Deskriptif!K62)</f>
        <v>9</v>
      </c>
    </row>
    <row r="60" spans="1:12" ht="15" customHeight="1" x14ac:dyDescent="0.2">
      <c r="A60" s="3" t="str">
        <f>Deskriptif!A63</f>
        <v>P30</v>
      </c>
      <c r="B60" s="3">
        <f>Deskriptif!C63</f>
        <v>1</v>
      </c>
      <c r="C60" s="3" t="str">
        <f>Deskriptif!D63</f>
        <v>527</v>
      </c>
      <c r="D60" s="3" t="str">
        <f>IF(C60=Setup!$B$5,Setup!$C$5,Setup!$C$6)</f>
        <v>Ethiopia natural (light roast)</v>
      </c>
      <c r="E60" s="3">
        <f>IF(COUNTA(Deskriptif!E63:K63)&gt;0,1,0)</f>
        <v>1</v>
      </c>
      <c r="F60" s="3">
        <f>IF(Deskriptif!E63="","",Deskriptif!E63)</f>
        <v>7</v>
      </c>
      <c r="G60" s="3">
        <f>IF(Deskriptif!F63="","",Deskriptif!F63)</f>
        <v>6</v>
      </c>
      <c r="H60" s="3">
        <f>IF(Deskriptif!G63="","",Deskriptif!G63)</f>
        <v>11</v>
      </c>
      <c r="I60" s="3">
        <f>IF(Deskriptif!H63="","",Deskriptif!H63)</f>
        <v>9</v>
      </c>
      <c r="J60" s="3">
        <f>IF(Deskriptif!I63="","",Deskriptif!I63)</f>
        <v>12</v>
      </c>
      <c r="K60" s="3">
        <f>IF(Deskriptif!J63="","",Deskriptif!J63)</f>
        <v>6</v>
      </c>
      <c r="L60" s="3">
        <f>IF(Deskriptif!K63="","",Deskriptif!K63)</f>
        <v>8</v>
      </c>
    </row>
    <row r="61" spans="1:12" ht="15" customHeight="1" x14ac:dyDescent="0.2">
      <c r="A61" s="3" t="str">
        <f>Deskriptif!A64</f>
        <v>P30</v>
      </c>
      <c r="B61" s="3">
        <f>Deskriptif!C64</f>
        <v>2</v>
      </c>
      <c r="C61" s="3" t="str">
        <f>Deskriptif!D64</f>
        <v>381</v>
      </c>
      <c r="D61" s="3" t="str">
        <f>IF(C61=Setup!$B$5,Setup!$C$5,Setup!$C$6)</f>
        <v>Robusta Temanggung (dark roast)</v>
      </c>
      <c r="E61" s="3">
        <f>IF(COUNTA(Deskriptif!E64:K64)&gt;0,1,0)</f>
        <v>1</v>
      </c>
      <c r="F61" s="3">
        <f>IF(Deskriptif!E64="","",Deskriptif!E64)</f>
        <v>10</v>
      </c>
      <c r="G61" s="3">
        <f>IF(Deskriptif!F64="","",Deskriptif!F64)</f>
        <v>11</v>
      </c>
      <c r="H61" s="3">
        <f>IF(Deskriptif!G64="","",Deskriptif!G64)</f>
        <v>9</v>
      </c>
      <c r="I61" s="3">
        <f>IF(Deskriptif!H64="","",Deskriptif!H64)</f>
        <v>8</v>
      </c>
      <c r="J61" s="3">
        <f>IF(Deskriptif!I64="","",Deskriptif!I64)</f>
        <v>6</v>
      </c>
      <c r="K61" s="3">
        <f>IF(Deskriptif!J64="","",Deskriptif!J64)</f>
        <v>3</v>
      </c>
      <c r="L61" s="3">
        <f>IF(Deskriptif!K64="","",Deskriptif!K64)</f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61"/>
  <sheetViews>
    <sheetView zoomScaleNormal="100" workbookViewId="0">
      <pane xSplit="5" ySplit="1" topLeftCell="F44" activePane="bottomRight" state="frozen"/>
      <selection pane="topRight" activeCell="F1" sqref="F1"/>
      <selection pane="bottomLeft" activeCell="A2" sqref="A2"/>
      <selection pane="bottomRight" activeCell="A62" sqref="A62:XFD81"/>
    </sheetView>
  </sheetViews>
  <sheetFormatPr baseColWidth="10" defaultColWidth="8.6640625" defaultRowHeight="15" x14ac:dyDescent="0.2"/>
  <cols>
    <col min="1" max="16" width="12" customWidth="1"/>
  </cols>
  <sheetData>
    <row r="1" spans="1:16" ht="15" customHeight="1" x14ac:dyDescent="0.2">
      <c r="A1" s="17" t="s">
        <v>123</v>
      </c>
      <c r="B1" s="17" t="s">
        <v>76</v>
      </c>
      <c r="C1" s="17" t="s">
        <v>2</v>
      </c>
      <c r="D1" s="17" t="s">
        <v>124</v>
      </c>
      <c r="E1" s="17" t="s">
        <v>125</v>
      </c>
      <c r="F1" s="17" t="s">
        <v>82</v>
      </c>
      <c r="G1" s="17" t="s">
        <v>83</v>
      </c>
      <c r="H1" s="17" t="s">
        <v>84</v>
      </c>
      <c r="I1" s="17" t="s">
        <v>85</v>
      </c>
      <c r="J1" s="17" t="s">
        <v>86</v>
      </c>
      <c r="K1" s="17" t="s">
        <v>87</v>
      </c>
      <c r="L1" s="17" t="s">
        <v>88</v>
      </c>
      <c r="M1" s="17" t="s">
        <v>89</v>
      </c>
      <c r="N1" s="17" t="s">
        <v>154</v>
      </c>
      <c r="O1" s="17" t="s">
        <v>91</v>
      </c>
      <c r="P1" s="17" t="s">
        <v>155</v>
      </c>
    </row>
    <row r="2" spans="1:16" ht="15" customHeight="1" x14ac:dyDescent="0.2">
      <c r="A2" s="3" t="str">
        <f>Afektif!A5</f>
        <v>P01</v>
      </c>
      <c r="B2" s="3">
        <f>Afektif!C5</f>
        <v>1</v>
      </c>
      <c r="C2" s="3" t="str">
        <f>Afektif!D5</f>
        <v>527</v>
      </c>
      <c r="D2" s="3" t="str">
        <f>IF(C2=Setup!$B$5,Setup!$C$5,Setup!$C$6)</f>
        <v>Ethiopia natural (light roast)</v>
      </c>
      <c r="E2" s="3">
        <f>IF(COUNTA(Afektif!E5:N5)&gt;0,1,0)</f>
        <v>1</v>
      </c>
      <c r="F2" s="3">
        <f>IF(Afektif!E5="","",Afektif!E5)</f>
        <v>6</v>
      </c>
      <c r="G2" s="3">
        <f>IF(Afektif!F5="","",Afektif!F5)</f>
        <v>7</v>
      </c>
      <c r="H2" s="3">
        <f>IF(Afektif!G5="","",Afektif!G5)</f>
        <v>6</v>
      </c>
      <c r="I2" s="3">
        <f>IF(Afektif!H5="","",Afektif!H5)</f>
        <v>8</v>
      </c>
      <c r="J2" s="3">
        <f>IF(Afektif!I5="","",Afektif!I5)</f>
        <v>8</v>
      </c>
      <c r="K2" s="3">
        <f>IF(Afektif!J5="","",Afektif!J5)</f>
        <v>7</v>
      </c>
      <c r="L2" s="3">
        <f>IF(Afektif!K5="","",Afektif!K5)</f>
        <v>8</v>
      </c>
      <c r="M2" s="3">
        <f>IF(Afektif!L5="","",Afektif!L5)</f>
        <v>9</v>
      </c>
      <c r="N2" s="3">
        <f>IF(Afektif!M5="","",Afektif!M5)</f>
        <v>0</v>
      </c>
      <c r="O2" s="3">
        <f>IF(Afektif!N5="","",Afektif!N5)</f>
        <v>0</v>
      </c>
      <c r="P2" s="18">
        <f>IF(Afektif!O5="","",Afektif!O5)</f>
        <v>91.46875</v>
      </c>
    </row>
    <row r="3" spans="1:16" ht="15" customHeight="1" x14ac:dyDescent="0.2">
      <c r="A3" s="3" t="str">
        <f>Afektif!A6</f>
        <v>P01</v>
      </c>
      <c r="B3" s="3">
        <f>Afektif!C6</f>
        <v>2</v>
      </c>
      <c r="C3" s="3" t="str">
        <f>Afektif!D6</f>
        <v>381</v>
      </c>
      <c r="D3" s="3" t="str">
        <f>IF(C3=Setup!$B$5,Setup!$C$5,Setup!$C$6)</f>
        <v>Robusta Temanggung (dark roast)</v>
      </c>
      <c r="E3" s="3">
        <f>IF(COUNTA(Afektif!E6:N6)&gt;0,1,0)</f>
        <v>1</v>
      </c>
      <c r="F3" s="3">
        <f>IF(Afektif!E6="","",Afektif!E6)</f>
        <v>7</v>
      </c>
      <c r="G3" s="3">
        <f>IF(Afektif!F6="","",Afektif!F6)</f>
        <v>6</v>
      </c>
      <c r="H3" s="3">
        <f>IF(Afektif!G6="","",Afektif!G6)</f>
        <v>6</v>
      </c>
      <c r="I3" s="3">
        <f>IF(Afektif!H6="","",Afektif!H6)</f>
        <v>7</v>
      </c>
      <c r="J3" s="3">
        <f>IF(Afektif!I6="","",Afektif!I6)</f>
        <v>6</v>
      </c>
      <c r="K3" s="3">
        <f>IF(Afektif!J6="","",Afektif!J6)</f>
        <v>6</v>
      </c>
      <c r="L3" s="3">
        <f>IF(Afektif!K6="","",Afektif!K6)</f>
        <v>6</v>
      </c>
      <c r="M3" s="3">
        <f>IF(Afektif!L6="","",Afektif!L6)</f>
        <v>4</v>
      </c>
      <c r="N3" s="3">
        <f>IF(Afektif!M6="","",Afektif!M6)</f>
        <v>0</v>
      </c>
      <c r="O3" s="3">
        <f>IF(Afektif!N6="","",Afektif!N6)</f>
        <v>0</v>
      </c>
      <c r="P3" s="18">
        <f>IF(Afektif!O6="","",Afektif!O6)</f>
        <v>84.25</v>
      </c>
    </row>
    <row r="4" spans="1:16" ht="15" customHeight="1" x14ac:dyDescent="0.2">
      <c r="A4" s="3" t="str">
        <f>Afektif!A7</f>
        <v>P02</v>
      </c>
      <c r="B4" s="3">
        <f>Afektif!C7</f>
        <v>1</v>
      </c>
      <c r="C4" s="3" t="str">
        <f>Afektif!D7</f>
        <v>527</v>
      </c>
      <c r="D4" s="3" t="str">
        <f>IF(C4=Setup!$B$5,Setup!$C$5,Setup!$C$6)</f>
        <v>Ethiopia natural (light roast)</v>
      </c>
      <c r="E4" s="3">
        <f>IF(COUNTA(Afektif!E7:N7)&gt;0,1,0)</f>
        <v>1</v>
      </c>
      <c r="F4" s="3">
        <f>IF(Afektif!E7="","",Afektif!E7)</f>
        <v>8</v>
      </c>
      <c r="G4" s="3">
        <f>IF(Afektif!F7="","",Afektif!F7)</f>
        <v>8</v>
      </c>
      <c r="H4" s="3">
        <f>IF(Afektif!G7="","",Afektif!G7)</f>
        <v>7</v>
      </c>
      <c r="I4" s="3">
        <f>IF(Afektif!H7="","",Afektif!H7)</f>
        <v>7</v>
      </c>
      <c r="J4" s="3">
        <f>IF(Afektif!I7="","",Afektif!I7)</f>
        <v>9</v>
      </c>
      <c r="K4" s="3">
        <f>IF(Afektif!J7="","",Afektif!J7)</f>
        <v>8</v>
      </c>
      <c r="L4" s="3">
        <f>IF(Afektif!K7="","",Afektif!K7)</f>
        <v>7</v>
      </c>
      <c r="M4" s="3">
        <f>IF(Afektif!L7="","",Afektif!L7)</f>
        <v>9</v>
      </c>
      <c r="N4" s="3">
        <f>IF(Afektif!M7="","",Afektif!M7)</f>
        <v>1</v>
      </c>
      <c r="O4" s="3">
        <f>IF(Afektif!N7="","",Afektif!N7)</f>
        <v>0</v>
      </c>
      <c r="P4" s="18">
        <f>IF(Afektif!O7="","",Afektif!O7)</f>
        <v>92.09375</v>
      </c>
    </row>
    <row r="5" spans="1:16" ht="15" customHeight="1" x14ac:dyDescent="0.2">
      <c r="A5" s="3" t="str">
        <f>Afektif!A8</f>
        <v>P02</v>
      </c>
      <c r="B5" s="3">
        <f>Afektif!C8</f>
        <v>2</v>
      </c>
      <c r="C5" s="3" t="str">
        <f>Afektif!D8</f>
        <v>381</v>
      </c>
      <c r="D5" s="3" t="str">
        <f>IF(C5=Setup!$B$5,Setup!$C$5,Setup!$C$6)</f>
        <v>Robusta Temanggung (dark roast)</v>
      </c>
      <c r="E5" s="3">
        <f>IF(COUNTA(Afektif!E8:N8)&gt;0,1,0)</f>
        <v>1</v>
      </c>
      <c r="F5" s="3">
        <f>IF(Afektif!E8="","",Afektif!E8)</f>
        <v>6</v>
      </c>
      <c r="G5" s="3">
        <f>IF(Afektif!F8="","",Afektif!F8)</f>
        <v>6</v>
      </c>
      <c r="H5" s="3">
        <f>IF(Afektif!G8="","",Afektif!G8)</f>
        <v>6</v>
      </c>
      <c r="I5" s="3">
        <f>IF(Afektif!H8="","",Afektif!H8)</f>
        <v>6</v>
      </c>
      <c r="J5" s="3">
        <f>IF(Afektif!I8="","",Afektif!I8)</f>
        <v>5</v>
      </c>
      <c r="K5" s="3">
        <f>IF(Afektif!J8="","",Afektif!J8)</f>
        <v>6</v>
      </c>
      <c r="L5" s="3">
        <f>IF(Afektif!K8="","",Afektif!K8)</f>
        <v>6</v>
      </c>
      <c r="M5" s="3">
        <f>IF(Afektif!L8="","",Afektif!L8)</f>
        <v>6</v>
      </c>
      <c r="N5" s="3">
        <f>IF(Afektif!M8="","",Afektif!M8)</f>
        <v>0</v>
      </c>
      <c r="O5" s="3">
        <f>IF(Afektif!N8="","",Afektif!N8)</f>
        <v>0</v>
      </c>
      <c r="P5" s="18">
        <f>IF(Afektif!O8="","",Afektif!O8)</f>
        <v>83.59375</v>
      </c>
    </row>
    <row r="6" spans="1:16" ht="15" customHeight="1" x14ac:dyDescent="0.2">
      <c r="A6" s="3" t="str">
        <f>Afektif!A9</f>
        <v>P03</v>
      </c>
      <c r="B6" s="3">
        <f>Afektif!C9</f>
        <v>1</v>
      </c>
      <c r="C6" s="3" t="str">
        <f>Afektif!D9</f>
        <v>527</v>
      </c>
      <c r="D6" s="3" t="str">
        <f>IF(C6=Setup!$B$5,Setup!$C$5,Setup!$C$6)</f>
        <v>Ethiopia natural (light roast)</v>
      </c>
      <c r="E6" s="3">
        <f>IF(COUNTA(Afektif!E9:N9)&gt;0,1,0)</f>
        <v>1</v>
      </c>
      <c r="F6" s="3">
        <f>IF(Afektif!E9="","",Afektif!E9)</f>
        <v>7</v>
      </c>
      <c r="G6" s="3">
        <f>IF(Afektif!F9="","",Afektif!F9)</f>
        <v>8</v>
      </c>
      <c r="H6" s="3">
        <f>IF(Afektif!G9="","",Afektif!G9)</f>
        <v>7</v>
      </c>
      <c r="I6" s="3">
        <f>IF(Afektif!H9="","",Afektif!H9)</f>
        <v>7</v>
      </c>
      <c r="J6" s="3">
        <f>IF(Afektif!I9="","",Afektif!I9)</f>
        <v>9</v>
      </c>
      <c r="K6" s="3">
        <f>IF(Afektif!J9="","",Afektif!J9)</f>
        <v>7</v>
      </c>
      <c r="L6" s="3">
        <f>IF(Afektif!K9="","",Afektif!K9)</f>
        <v>5</v>
      </c>
      <c r="M6" s="3">
        <f>IF(Afektif!L9="","",Afektif!L9)</f>
        <v>7</v>
      </c>
      <c r="N6" s="3">
        <f>IF(Afektif!M9="","",Afektif!M9)</f>
        <v>0</v>
      </c>
      <c r="O6" s="3">
        <f>IF(Afektif!N9="","",Afektif!N9)</f>
        <v>0</v>
      </c>
      <c r="P6" s="18">
        <f>IF(Afektif!O9="","",Afektif!O9)</f>
        <v>90.15625</v>
      </c>
    </row>
    <row r="7" spans="1:16" ht="15" customHeight="1" x14ac:dyDescent="0.2">
      <c r="A7" s="3" t="str">
        <f>Afektif!A10</f>
        <v>P03</v>
      </c>
      <c r="B7" s="3">
        <f>Afektif!C10</f>
        <v>2</v>
      </c>
      <c r="C7" s="3" t="str">
        <f>Afektif!D10</f>
        <v>381</v>
      </c>
      <c r="D7" s="3" t="str">
        <f>IF(C7=Setup!$B$5,Setup!$C$5,Setup!$C$6)</f>
        <v>Robusta Temanggung (dark roast)</v>
      </c>
      <c r="E7" s="3">
        <f>IF(COUNTA(Afektif!E10:N10)&gt;0,1,0)</f>
        <v>1</v>
      </c>
      <c r="F7" s="3">
        <f>IF(Afektif!E10="","",Afektif!E10)</f>
        <v>5</v>
      </c>
      <c r="G7" s="3">
        <f>IF(Afektif!F10="","",Afektif!F10)</f>
        <v>6</v>
      </c>
      <c r="H7" s="3">
        <f>IF(Afektif!G10="","",Afektif!G10)</f>
        <v>4</v>
      </c>
      <c r="I7" s="3">
        <f>IF(Afektif!H10="","",Afektif!H10)</f>
        <v>4</v>
      </c>
      <c r="J7" s="3">
        <f>IF(Afektif!I10="","",Afektif!I10)</f>
        <v>5</v>
      </c>
      <c r="K7" s="3">
        <f>IF(Afektif!J10="","",Afektif!J10)</f>
        <v>7</v>
      </c>
      <c r="L7" s="3">
        <f>IF(Afektif!K10="","",Afektif!K10)</f>
        <v>5</v>
      </c>
      <c r="M7" s="3">
        <f>IF(Afektif!L10="","",Afektif!L10)</f>
        <v>5</v>
      </c>
      <c r="N7" s="3">
        <f>IF(Afektif!M10="","",Afektif!M10)</f>
        <v>0</v>
      </c>
      <c r="O7" s="3">
        <f>IF(Afektif!N10="","",Afektif!N10)</f>
        <v>0</v>
      </c>
      <c r="P7" s="18">
        <f>IF(Afektif!O10="","",Afektif!O10)</f>
        <v>79.65625</v>
      </c>
    </row>
    <row r="8" spans="1:16" ht="15" customHeight="1" x14ac:dyDescent="0.2">
      <c r="A8" s="3" t="str">
        <f>Afektif!A11</f>
        <v>P04</v>
      </c>
      <c r="B8" s="3">
        <f>Afektif!C11</f>
        <v>1</v>
      </c>
      <c r="C8" s="3" t="str">
        <f>Afektif!D11</f>
        <v>527</v>
      </c>
      <c r="D8" s="3" t="str">
        <f>IF(C8=Setup!$B$5,Setup!$C$5,Setup!$C$6)</f>
        <v>Ethiopia natural (light roast)</v>
      </c>
      <c r="E8" s="3">
        <f>IF(COUNTA(Afektif!E11:N11)&gt;0,1,0)</f>
        <v>1</v>
      </c>
      <c r="F8" s="3">
        <f>IF(Afektif!E11="","",Afektif!E11)</f>
        <v>7</v>
      </c>
      <c r="G8" s="3">
        <f>IF(Afektif!F11="","",Afektif!F11)</f>
        <v>7</v>
      </c>
      <c r="H8" s="3">
        <f>IF(Afektif!G11="","",Afektif!G11)</f>
        <v>8</v>
      </c>
      <c r="I8" s="3">
        <f>IF(Afektif!H11="","",Afektif!H11)</f>
        <v>7</v>
      </c>
      <c r="J8" s="3">
        <f>IF(Afektif!I11="","",Afektif!I11)</f>
        <v>7</v>
      </c>
      <c r="K8" s="3">
        <f>IF(Afektif!J11="","",Afektif!J11)</f>
        <v>8</v>
      </c>
      <c r="L8" s="3">
        <f>IF(Afektif!K11="","",Afektif!K11)</f>
        <v>8</v>
      </c>
      <c r="M8" s="3">
        <f>IF(Afektif!L11="","",Afektif!L11)</f>
        <v>8</v>
      </c>
      <c r="N8" s="3">
        <f>IF(Afektif!M11="","",Afektif!M11)</f>
        <v>0</v>
      </c>
      <c r="O8" s="3">
        <f>IF(Afektif!N11="","",Afektif!N11)</f>
        <v>0</v>
      </c>
      <c r="P8" s="18">
        <f>IF(Afektif!O11="","",Afektif!O11)</f>
        <v>92.125</v>
      </c>
    </row>
    <row r="9" spans="1:16" ht="15" customHeight="1" x14ac:dyDescent="0.2">
      <c r="A9" s="3" t="str">
        <f>Afektif!A12</f>
        <v>P04</v>
      </c>
      <c r="B9" s="3">
        <f>Afektif!C12</f>
        <v>2</v>
      </c>
      <c r="C9" s="3" t="str">
        <f>Afektif!D12</f>
        <v>381</v>
      </c>
      <c r="D9" s="3" t="str">
        <f>IF(C9=Setup!$B$5,Setup!$C$5,Setup!$C$6)</f>
        <v>Robusta Temanggung (dark roast)</v>
      </c>
      <c r="E9" s="3">
        <f>IF(COUNTA(Afektif!E12:N12)&gt;0,1,0)</f>
        <v>1</v>
      </c>
      <c r="F9" s="3">
        <f>IF(Afektif!E12="","",Afektif!E12)</f>
        <v>5</v>
      </c>
      <c r="G9" s="3">
        <f>IF(Afektif!F12="","",Afektif!F12)</f>
        <v>6</v>
      </c>
      <c r="H9" s="3">
        <f>IF(Afektif!G12="","",Afektif!G12)</f>
        <v>6</v>
      </c>
      <c r="I9" s="3">
        <f>IF(Afektif!H12="","",Afektif!H12)</f>
        <v>6</v>
      </c>
      <c r="J9" s="3">
        <f>IF(Afektif!I12="","",Afektif!I12)</f>
        <v>6</v>
      </c>
      <c r="K9" s="3">
        <f>IF(Afektif!J12="","",Afektif!J12)</f>
        <v>5</v>
      </c>
      <c r="L9" s="3">
        <f>IF(Afektif!K12="","",Afektif!K12)</f>
        <v>5</v>
      </c>
      <c r="M9" s="3">
        <f>IF(Afektif!L12="","",Afektif!L12)</f>
        <v>5</v>
      </c>
      <c r="N9" s="3">
        <f>IF(Afektif!M12="","",Afektif!M12)</f>
        <v>0</v>
      </c>
      <c r="O9" s="3">
        <f>IF(Afektif!N12="","",Afektif!N12)</f>
        <v>0</v>
      </c>
      <c r="P9" s="18">
        <f>IF(Afektif!O12="","",Afektif!O12)</f>
        <v>81.625</v>
      </c>
    </row>
    <row r="10" spans="1:16" ht="15" customHeight="1" x14ac:dyDescent="0.2">
      <c r="A10" s="3" t="str">
        <f>Afektif!A13</f>
        <v>P05</v>
      </c>
      <c r="B10" s="3">
        <f>Afektif!C13</f>
        <v>1</v>
      </c>
      <c r="C10" s="3" t="str">
        <f>Afektif!D13</f>
        <v>527</v>
      </c>
      <c r="D10" s="3" t="str">
        <f>IF(C10=Setup!$B$5,Setup!$C$5,Setup!$C$6)</f>
        <v>Ethiopia natural (light roast)</v>
      </c>
      <c r="E10" s="3">
        <f>IF(COUNTA(Afektif!E13:N13)&gt;0,1,0)</f>
        <v>1</v>
      </c>
      <c r="F10" s="3">
        <f>IF(Afektif!E13="","",Afektif!E13)</f>
        <v>7</v>
      </c>
      <c r="G10" s="3">
        <f>IF(Afektif!F13="","",Afektif!F13)</f>
        <v>8</v>
      </c>
      <c r="H10" s="3">
        <f>IF(Afektif!G13="","",Afektif!G13)</f>
        <v>7</v>
      </c>
      <c r="I10" s="3">
        <f>IF(Afektif!H13="","",Afektif!H13)</f>
        <v>7</v>
      </c>
      <c r="J10" s="3">
        <f>IF(Afektif!I13="","",Afektif!I13)</f>
        <v>7</v>
      </c>
      <c r="K10" s="3">
        <f>IF(Afektif!J13="","",Afektif!J13)</f>
        <v>8</v>
      </c>
      <c r="L10" s="3">
        <f>IF(Afektif!K13="","",Afektif!K13)</f>
        <v>9</v>
      </c>
      <c r="M10" s="3">
        <f>IF(Afektif!L13="","",Afektif!L13)</f>
        <v>7</v>
      </c>
      <c r="N10" s="3">
        <f>IF(Afektif!M13="","",Afektif!M13)</f>
        <v>0</v>
      </c>
      <c r="O10" s="3">
        <f>IF(Afektif!N13="","",Afektif!N13)</f>
        <v>0</v>
      </c>
      <c r="P10" s="18">
        <f>IF(Afektif!O13="","",Afektif!O13)</f>
        <v>92.125</v>
      </c>
    </row>
    <row r="11" spans="1:16" ht="15" customHeight="1" x14ac:dyDescent="0.2">
      <c r="A11" s="3" t="str">
        <f>Afektif!A14</f>
        <v>P05</v>
      </c>
      <c r="B11" s="3">
        <f>Afektif!C14</f>
        <v>2</v>
      </c>
      <c r="C11" s="3" t="str">
        <f>Afektif!D14</f>
        <v>381</v>
      </c>
      <c r="D11" s="3" t="str">
        <f>IF(C11=Setup!$B$5,Setup!$C$5,Setup!$C$6)</f>
        <v>Robusta Temanggung (dark roast)</v>
      </c>
      <c r="E11" s="3">
        <f>IF(COUNTA(Afektif!E14:N14)&gt;0,1,0)</f>
        <v>1</v>
      </c>
      <c r="F11" s="3">
        <f>IF(Afektif!E14="","",Afektif!E14)</f>
        <v>6</v>
      </c>
      <c r="G11" s="3">
        <f>IF(Afektif!F14="","",Afektif!F14)</f>
        <v>4</v>
      </c>
      <c r="H11" s="3">
        <f>IF(Afektif!G14="","",Afektif!G14)</f>
        <v>5</v>
      </c>
      <c r="I11" s="3">
        <f>IF(Afektif!H14="","",Afektif!H14)</f>
        <v>7</v>
      </c>
      <c r="J11" s="3">
        <f>IF(Afektif!I14="","",Afektif!I14)</f>
        <v>4</v>
      </c>
      <c r="K11" s="3">
        <f>IF(Afektif!J14="","",Afektif!J14)</f>
        <v>6</v>
      </c>
      <c r="L11" s="3">
        <f>IF(Afektif!K14="","",Afektif!K14)</f>
        <v>4</v>
      </c>
      <c r="M11" s="3">
        <f>IF(Afektif!L14="","",Afektif!L14)</f>
        <v>7</v>
      </c>
      <c r="N11" s="3">
        <f>IF(Afektif!M14="","",Afektif!M14)</f>
        <v>0</v>
      </c>
      <c r="O11" s="3">
        <f>IF(Afektif!N14="","",Afektif!N14)</f>
        <v>0</v>
      </c>
      <c r="P11" s="18">
        <f>IF(Afektif!O14="","",Afektif!O14)</f>
        <v>80.96875</v>
      </c>
    </row>
    <row r="12" spans="1:16" ht="15" customHeight="1" x14ac:dyDescent="0.2">
      <c r="A12" s="3" t="str">
        <f>Afektif!A15</f>
        <v>P06</v>
      </c>
      <c r="B12" s="3">
        <f>Afektif!C15</f>
        <v>1</v>
      </c>
      <c r="C12" s="3" t="str">
        <f>Afektif!D15</f>
        <v>527</v>
      </c>
      <c r="D12" s="3" t="str">
        <f>IF(C12=Setup!$B$5,Setup!$C$5,Setup!$C$6)</f>
        <v>Ethiopia natural (light roast)</v>
      </c>
      <c r="E12" s="3">
        <f>IF(COUNTA(Afektif!E15:N15)&gt;0,1,0)</f>
        <v>1</v>
      </c>
      <c r="F12" s="3">
        <f>IF(Afektif!E15="","",Afektif!E15)</f>
        <v>7</v>
      </c>
      <c r="G12" s="3">
        <f>IF(Afektif!F15="","",Afektif!F15)</f>
        <v>7</v>
      </c>
      <c r="H12" s="3">
        <f>IF(Afektif!G15="","",Afektif!G15)</f>
        <v>8</v>
      </c>
      <c r="I12" s="3">
        <f>IF(Afektif!H15="","",Afektif!H15)</f>
        <v>7</v>
      </c>
      <c r="J12" s="3">
        <f>IF(Afektif!I15="","",Afektif!I15)</f>
        <v>7</v>
      </c>
      <c r="K12" s="3">
        <f>IF(Afektif!J15="","",Afektif!J15)</f>
        <v>7</v>
      </c>
      <c r="L12" s="3">
        <f>IF(Afektif!K15="","",Afektif!K15)</f>
        <v>5</v>
      </c>
      <c r="M12" s="3">
        <f>IF(Afektif!L15="","",Afektif!L15)</f>
        <v>9</v>
      </c>
      <c r="N12" s="3">
        <f>IF(Afektif!M15="","",Afektif!M15)</f>
        <v>0</v>
      </c>
      <c r="O12" s="3">
        <f>IF(Afektif!N15="","",Afektif!N15)</f>
        <v>0</v>
      </c>
      <c r="P12" s="18">
        <f>IF(Afektif!O15="","",Afektif!O15)</f>
        <v>90.15625</v>
      </c>
    </row>
    <row r="13" spans="1:16" ht="15" customHeight="1" x14ac:dyDescent="0.2">
      <c r="A13" s="3" t="str">
        <f>Afektif!A16</f>
        <v>P06</v>
      </c>
      <c r="B13" s="3">
        <f>Afektif!C16</f>
        <v>2</v>
      </c>
      <c r="C13" s="3" t="str">
        <f>Afektif!D16</f>
        <v>381</v>
      </c>
      <c r="D13" s="3" t="str">
        <f>IF(C13=Setup!$B$5,Setup!$C$5,Setup!$C$6)</f>
        <v>Robusta Temanggung (dark roast)</v>
      </c>
      <c r="E13" s="3">
        <f>IF(COUNTA(Afektif!E16:N16)&gt;0,1,0)</f>
        <v>1</v>
      </c>
      <c r="F13" s="3">
        <f>IF(Afektif!E16="","",Afektif!E16)</f>
        <v>6</v>
      </c>
      <c r="G13" s="3">
        <f>IF(Afektif!F16="","",Afektif!F16)</f>
        <v>7</v>
      </c>
      <c r="H13" s="3">
        <f>IF(Afektif!G16="","",Afektif!G16)</f>
        <v>5</v>
      </c>
      <c r="I13" s="3">
        <f>IF(Afektif!H16="","",Afektif!H16)</f>
        <v>7</v>
      </c>
      <c r="J13" s="3">
        <f>IF(Afektif!I16="","",Afektif!I16)</f>
        <v>6</v>
      </c>
      <c r="K13" s="3">
        <f>IF(Afektif!J16="","",Afektif!J16)</f>
        <v>6</v>
      </c>
      <c r="L13" s="3">
        <f>IF(Afektif!K16="","",Afektif!K16)</f>
        <v>5</v>
      </c>
      <c r="M13" s="3">
        <f>IF(Afektif!L16="","",Afektif!L16)</f>
        <v>7</v>
      </c>
      <c r="N13" s="3">
        <f>IF(Afektif!M16="","",Afektif!M16)</f>
        <v>0</v>
      </c>
      <c r="O13" s="3">
        <f>IF(Afektif!N16="","",Afektif!N16)</f>
        <v>0</v>
      </c>
      <c r="P13" s="18">
        <f>IF(Afektif!O16="","",Afektif!O16)</f>
        <v>84.90625</v>
      </c>
    </row>
    <row r="14" spans="1:16" ht="15" customHeight="1" x14ac:dyDescent="0.2">
      <c r="A14" s="3" t="str">
        <f>Afektif!A17</f>
        <v>P07</v>
      </c>
      <c r="B14" s="3">
        <f>Afektif!C17</f>
        <v>1</v>
      </c>
      <c r="C14" s="3" t="str">
        <f>Afektif!D17</f>
        <v>527</v>
      </c>
      <c r="D14" s="3" t="str">
        <f>IF(C14=Setup!$B$5,Setup!$C$5,Setup!$C$6)</f>
        <v>Ethiopia natural (light roast)</v>
      </c>
      <c r="E14" s="3">
        <f>IF(COUNTA(Afektif!E17:N17)&gt;0,1,0)</f>
        <v>1</v>
      </c>
      <c r="F14" s="3">
        <f>IF(Afektif!E17="","",Afektif!E17)</f>
        <v>8</v>
      </c>
      <c r="G14" s="3">
        <f>IF(Afektif!F17="","",Afektif!F17)</f>
        <v>8</v>
      </c>
      <c r="H14" s="3">
        <f>IF(Afektif!G17="","",Afektif!G17)</f>
        <v>7</v>
      </c>
      <c r="I14" s="3">
        <f>IF(Afektif!H17="","",Afektif!H17)</f>
        <v>8</v>
      </c>
      <c r="J14" s="3">
        <f>IF(Afektif!I17="","",Afektif!I17)</f>
        <v>7</v>
      </c>
      <c r="K14" s="3">
        <f>IF(Afektif!J17="","",Afektif!J17)</f>
        <v>5</v>
      </c>
      <c r="L14" s="3">
        <f>IF(Afektif!K17="","",Afektif!K17)</f>
        <v>7</v>
      </c>
      <c r="M14" s="3">
        <f>IF(Afektif!L17="","",Afektif!L17)</f>
        <v>9</v>
      </c>
      <c r="N14" s="3">
        <f>IF(Afektif!M17="","",Afektif!M17)</f>
        <v>0</v>
      </c>
      <c r="O14" s="3">
        <f>IF(Afektif!N17="","",Afektif!N17)</f>
        <v>0</v>
      </c>
      <c r="P14" s="18">
        <f>IF(Afektif!O17="","",Afektif!O17)</f>
        <v>91.46875</v>
      </c>
    </row>
    <row r="15" spans="1:16" ht="15" customHeight="1" x14ac:dyDescent="0.2">
      <c r="A15" s="3" t="str">
        <f>Afektif!A18</f>
        <v>P07</v>
      </c>
      <c r="B15" s="3">
        <f>Afektif!C18</f>
        <v>2</v>
      </c>
      <c r="C15" s="3" t="str">
        <f>Afektif!D18</f>
        <v>381</v>
      </c>
      <c r="D15" s="3" t="str">
        <f>IF(C15=Setup!$B$5,Setup!$C$5,Setup!$C$6)</f>
        <v>Robusta Temanggung (dark roast)</v>
      </c>
      <c r="E15" s="3">
        <f>IF(COUNTA(Afektif!E18:N18)&gt;0,1,0)</f>
        <v>1</v>
      </c>
      <c r="F15" s="3">
        <f>IF(Afektif!E18="","",Afektif!E18)</f>
        <v>6</v>
      </c>
      <c r="G15" s="3">
        <f>IF(Afektif!F18="","",Afektif!F18)</f>
        <v>5</v>
      </c>
      <c r="H15" s="3">
        <f>IF(Afektif!G18="","",Afektif!G18)</f>
        <v>6</v>
      </c>
      <c r="I15" s="3">
        <f>IF(Afektif!H18="","",Afektif!H18)</f>
        <v>7</v>
      </c>
      <c r="J15" s="3">
        <f>IF(Afektif!I18="","",Afektif!I18)</f>
        <v>3</v>
      </c>
      <c r="K15" s="3">
        <f>IF(Afektif!J18="","",Afektif!J18)</f>
        <v>6</v>
      </c>
      <c r="L15" s="3">
        <f>IF(Afektif!K18="","",Afektif!K18)</f>
        <v>6</v>
      </c>
      <c r="M15" s="3">
        <f>IF(Afektif!L18="","",Afektif!L18)</f>
        <v>6</v>
      </c>
      <c r="N15" s="3">
        <f>IF(Afektif!M18="","",Afektif!M18)</f>
        <v>1</v>
      </c>
      <c r="O15" s="3">
        <f>IF(Afektif!N18="","",Afektif!N18)</f>
        <v>0</v>
      </c>
      <c r="P15" s="18">
        <f>IF(Afektif!O18="","",Afektif!O18)</f>
        <v>80.28125</v>
      </c>
    </row>
    <row r="16" spans="1:16" ht="15" customHeight="1" x14ac:dyDescent="0.2">
      <c r="A16" s="3" t="str">
        <f>Afektif!A19</f>
        <v>P08</v>
      </c>
      <c r="B16" s="3">
        <f>Afektif!C19</f>
        <v>1</v>
      </c>
      <c r="C16" s="3" t="str">
        <f>Afektif!D19</f>
        <v>527</v>
      </c>
      <c r="D16" s="3" t="str">
        <f>IF(C16=Setup!$B$5,Setup!$C$5,Setup!$C$6)</f>
        <v>Ethiopia natural (light roast)</v>
      </c>
      <c r="E16" s="3">
        <f>IF(COUNTA(Afektif!E19:N19)&gt;0,1,0)</f>
        <v>1</v>
      </c>
      <c r="F16" s="3">
        <f>IF(Afektif!E19="","",Afektif!E19)</f>
        <v>8</v>
      </c>
      <c r="G16" s="3">
        <f>IF(Afektif!F19="","",Afektif!F19)</f>
        <v>7</v>
      </c>
      <c r="H16" s="3">
        <f>IF(Afektif!G19="","",Afektif!G19)</f>
        <v>6</v>
      </c>
      <c r="I16" s="3">
        <f>IF(Afektif!H19="","",Afektif!H19)</f>
        <v>8</v>
      </c>
      <c r="J16" s="3">
        <f>IF(Afektif!I19="","",Afektif!I19)</f>
        <v>8</v>
      </c>
      <c r="K16" s="3">
        <f>IF(Afektif!J19="","",Afektif!J19)</f>
        <v>8</v>
      </c>
      <c r="L16" s="3">
        <f>IF(Afektif!K19="","",Afektif!K19)</f>
        <v>8</v>
      </c>
      <c r="M16" s="3">
        <f>IF(Afektif!L19="","",Afektif!L19)</f>
        <v>7</v>
      </c>
      <c r="N16" s="3">
        <f>IF(Afektif!M19="","",Afektif!M19)</f>
        <v>0</v>
      </c>
      <c r="O16" s="3">
        <f>IF(Afektif!N19="","",Afektif!N19)</f>
        <v>0</v>
      </c>
      <c r="P16" s="18">
        <f>IF(Afektif!O19="","",Afektif!O19)</f>
        <v>92.125</v>
      </c>
    </row>
    <row r="17" spans="1:16" ht="15" customHeight="1" x14ac:dyDescent="0.2">
      <c r="A17" s="3" t="str">
        <f>Afektif!A20</f>
        <v>P08</v>
      </c>
      <c r="B17" s="3">
        <f>Afektif!C20</f>
        <v>2</v>
      </c>
      <c r="C17" s="3" t="str">
        <f>Afektif!D20</f>
        <v>381</v>
      </c>
      <c r="D17" s="3" t="str">
        <f>IF(C17=Setup!$B$5,Setup!$C$5,Setup!$C$6)</f>
        <v>Robusta Temanggung (dark roast)</v>
      </c>
      <c r="E17" s="3">
        <f>IF(COUNTA(Afektif!E20:N20)&gt;0,1,0)</f>
        <v>1</v>
      </c>
      <c r="F17" s="3">
        <f>IF(Afektif!E20="","",Afektif!E20)</f>
        <v>2</v>
      </c>
      <c r="G17" s="3">
        <f>IF(Afektif!F20="","",Afektif!F20)</f>
        <v>5</v>
      </c>
      <c r="H17" s="3">
        <f>IF(Afektif!G20="","",Afektif!G20)</f>
        <v>5</v>
      </c>
      <c r="I17" s="3">
        <f>IF(Afektif!H20="","",Afektif!H20)</f>
        <v>6</v>
      </c>
      <c r="J17" s="3">
        <f>IF(Afektif!I20="","",Afektif!I20)</f>
        <v>6</v>
      </c>
      <c r="K17" s="3">
        <f>IF(Afektif!J20="","",Afektif!J20)</f>
        <v>5</v>
      </c>
      <c r="L17" s="3">
        <f>IF(Afektif!K20="","",Afektif!K20)</f>
        <v>4</v>
      </c>
      <c r="M17" s="3">
        <f>IF(Afektif!L20="","",Afektif!L20)</f>
        <v>5</v>
      </c>
      <c r="N17" s="3">
        <f>IF(Afektif!M20="","",Afektif!M20)</f>
        <v>0</v>
      </c>
      <c r="O17" s="3">
        <f>IF(Afektif!N20="","",Afektif!N20)</f>
        <v>0</v>
      </c>
      <c r="P17" s="18">
        <f>IF(Afektif!O20="","",Afektif!O20)</f>
        <v>77.6875</v>
      </c>
    </row>
    <row r="18" spans="1:16" ht="15" customHeight="1" x14ac:dyDescent="0.2">
      <c r="A18" s="3" t="str">
        <f>Afektif!A21</f>
        <v>P09</v>
      </c>
      <c r="B18" s="3">
        <f>Afektif!C21</f>
        <v>1</v>
      </c>
      <c r="C18" s="3" t="str">
        <f>Afektif!D21</f>
        <v>527</v>
      </c>
      <c r="D18" s="3" t="str">
        <f>IF(C18=Setup!$B$5,Setup!$C$5,Setup!$C$6)</f>
        <v>Ethiopia natural (light roast)</v>
      </c>
      <c r="E18" s="3">
        <f>IF(COUNTA(Afektif!E21:N21)&gt;0,1,0)</f>
        <v>1</v>
      </c>
      <c r="F18" s="3">
        <f>IF(Afektif!E21="","",Afektif!E21)</f>
        <v>7</v>
      </c>
      <c r="G18" s="3">
        <f>IF(Afektif!F21="","",Afektif!F21)</f>
        <v>9</v>
      </c>
      <c r="H18" s="3">
        <f>IF(Afektif!G21="","",Afektif!G21)</f>
        <v>7</v>
      </c>
      <c r="I18" s="3">
        <f>IF(Afektif!H21="","",Afektif!H21)</f>
        <v>7</v>
      </c>
      <c r="J18" s="3">
        <f>IF(Afektif!I21="","",Afektif!I21)</f>
        <v>7</v>
      </c>
      <c r="K18" s="3">
        <f>IF(Afektif!J21="","",Afektif!J21)</f>
        <v>6</v>
      </c>
      <c r="L18" s="3">
        <f>IF(Afektif!K21="","",Afektif!K21)</f>
        <v>7</v>
      </c>
      <c r="M18" s="3">
        <f>IF(Afektif!L21="","",Afektif!L21)</f>
        <v>7</v>
      </c>
      <c r="N18" s="3">
        <f>IF(Afektif!M21="","",Afektif!M21)</f>
        <v>0</v>
      </c>
      <c r="O18" s="3">
        <f>IF(Afektif!N21="","",Afektif!N21)</f>
        <v>0</v>
      </c>
      <c r="P18" s="18">
        <f>IF(Afektif!O21="","",Afektif!O21)</f>
        <v>90.15625</v>
      </c>
    </row>
    <row r="19" spans="1:16" ht="15" customHeight="1" x14ac:dyDescent="0.2">
      <c r="A19" s="3" t="str">
        <f>Afektif!A22</f>
        <v>P09</v>
      </c>
      <c r="B19" s="3">
        <f>Afektif!C22</f>
        <v>2</v>
      </c>
      <c r="C19" s="3" t="str">
        <f>Afektif!D22</f>
        <v>381</v>
      </c>
      <c r="D19" s="3" t="str">
        <f>IF(C19=Setup!$B$5,Setup!$C$5,Setup!$C$6)</f>
        <v>Robusta Temanggung (dark roast)</v>
      </c>
      <c r="E19" s="3">
        <f>IF(COUNTA(Afektif!E22:N22)&gt;0,1,0)</f>
        <v>1</v>
      </c>
      <c r="F19" s="3">
        <f>IF(Afektif!E22="","",Afektif!E22)</f>
        <v>5</v>
      </c>
      <c r="G19" s="3">
        <f>IF(Afektif!F22="","",Afektif!F22)</f>
        <v>6</v>
      </c>
      <c r="H19" s="3">
        <f>IF(Afektif!G22="","",Afektif!G22)</f>
        <v>5</v>
      </c>
      <c r="I19" s="3">
        <f>IF(Afektif!H22="","",Afektif!H22)</f>
        <v>6</v>
      </c>
      <c r="J19" s="3">
        <f>IF(Afektif!I22="","",Afektif!I22)</f>
        <v>6</v>
      </c>
      <c r="K19" s="3">
        <f>IF(Afektif!J22="","",Afektif!J22)</f>
        <v>6</v>
      </c>
      <c r="L19" s="3">
        <f>IF(Afektif!K22="","",Afektif!K22)</f>
        <v>5</v>
      </c>
      <c r="M19" s="3">
        <f>IF(Afektif!L22="","",Afektif!L22)</f>
        <v>4</v>
      </c>
      <c r="N19" s="3">
        <f>IF(Afektif!M22="","",Afektif!M22)</f>
        <v>0</v>
      </c>
      <c r="O19" s="3">
        <f>IF(Afektif!N22="","",Afektif!N22)</f>
        <v>0</v>
      </c>
      <c r="P19" s="18">
        <f>IF(Afektif!O22="","",Afektif!O22)</f>
        <v>80.96875</v>
      </c>
    </row>
    <row r="20" spans="1:16" ht="15" customHeight="1" x14ac:dyDescent="0.2">
      <c r="A20" s="3" t="str">
        <f>Afektif!A23</f>
        <v>P10</v>
      </c>
      <c r="B20" s="3">
        <f>Afektif!C23</f>
        <v>1</v>
      </c>
      <c r="C20" s="3" t="str">
        <f>Afektif!D23</f>
        <v>527</v>
      </c>
      <c r="D20" s="3" t="str">
        <f>IF(C20=Setup!$B$5,Setup!$C$5,Setup!$C$6)</f>
        <v>Ethiopia natural (light roast)</v>
      </c>
      <c r="E20" s="3">
        <f>IF(COUNTA(Afektif!E23:N23)&gt;0,1,0)</f>
        <v>1</v>
      </c>
      <c r="F20" s="3">
        <f>IF(Afektif!E23="","",Afektif!E23)</f>
        <v>8</v>
      </c>
      <c r="G20" s="3">
        <f>IF(Afektif!F23="","",Afektif!F23)</f>
        <v>8</v>
      </c>
      <c r="H20" s="3">
        <f>IF(Afektif!G23="","",Afektif!G23)</f>
        <v>9</v>
      </c>
      <c r="I20" s="3">
        <f>IF(Afektif!H23="","",Afektif!H23)</f>
        <v>6</v>
      </c>
      <c r="J20" s="3">
        <f>IF(Afektif!I23="","",Afektif!I23)</f>
        <v>8</v>
      </c>
      <c r="K20" s="3">
        <f>IF(Afektif!J23="","",Afektif!J23)</f>
        <v>9</v>
      </c>
      <c r="L20" s="3">
        <f>IF(Afektif!K23="","",Afektif!K23)</f>
        <v>7</v>
      </c>
      <c r="M20" s="3">
        <f>IF(Afektif!L23="","",Afektif!L23)</f>
        <v>8</v>
      </c>
      <c r="N20" s="3">
        <f>IF(Afektif!M23="","",Afektif!M23)</f>
        <v>0</v>
      </c>
      <c r="O20" s="3">
        <f>IF(Afektif!N23="","",Afektif!N23)</f>
        <v>0</v>
      </c>
      <c r="P20" s="18">
        <f>IF(Afektif!O23="","",Afektif!O23)</f>
        <v>94.09375</v>
      </c>
    </row>
    <row r="21" spans="1:16" ht="15" customHeight="1" x14ac:dyDescent="0.2">
      <c r="A21" s="3" t="str">
        <f>Afektif!A24</f>
        <v>P10</v>
      </c>
      <c r="B21" s="3">
        <f>Afektif!C24</f>
        <v>2</v>
      </c>
      <c r="C21" s="3" t="str">
        <f>Afektif!D24</f>
        <v>381</v>
      </c>
      <c r="D21" s="3" t="str">
        <f>IF(C21=Setup!$B$5,Setup!$C$5,Setup!$C$6)</f>
        <v>Robusta Temanggung (dark roast)</v>
      </c>
      <c r="E21" s="3">
        <f>IF(COUNTA(Afektif!E24:N24)&gt;0,1,0)</f>
        <v>1</v>
      </c>
      <c r="F21" s="3">
        <f>IF(Afektif!E24="","",Afektif!E24)</f>
        <v>6</v>
      </c>
      <c r="G21" s="3">
        <f>IF(Afektif!F24="","",Afektif!F24)</f>
        <v>5</v>
      </c>
      <c r="H21" s="3">
        <f>IF(Afektif!G24="","",Afektif!G24)</f>
        <v>4</v>
      </c>
      <c r="I21" s="3">
        <f>IF(Afektif!H24="","",Afektif!H24)</f>
        <v>5</v>
      </c>
      <c r="J21" s="3">
        <f>IF(Afektif!I24="","",Afektif!I24)</f>
        <v>6</v>
      </c>
      <c r="K21" s="3">
        <f>IF(Afektif!J24="","",Afektif!J24)</f>
        <v>7</v>
      </c>
      <c r="L21" s="3">
        <f>IF(Afektif!K24="","",Afektif!K24)</f>
        <v>6</v>
      </c>
      <c r="M21" s="3">
        <f>IF(Afektif!L24="","",Afektif!L24)</f>
        <v>6</v>
      </c>
      <c r="N21" s="3">
        <f>IF(Afektif!M24="","",Afektif!M24)</f>
        <v>0</v>
      </c>
      <c r="O21" s="3">
        <f>IF(Afektif!N24="","",Afektif!N24)</f>
        <v>0</v>
      </c>
      <c r="P21" s="18">
        <f>IF(Afektif!O24="","",Afektif!O24)</f>
        <v>82.28125</v>
      </c>
    </row>
    <row r="22" spans="1:16" ht="15" customHeight="1" x14ac:dyDescent="0.2">
      <c r="A22" s="3" t="str">
        <f>Afektif!A25</f>
        <v>P11</v>
      </c>
      <c r="B22" s="3">
        <f>Afektif!C25</f>
        <v>1</v>
      </c>
      <c r="C22" s="3" t="str">
        <f>Afektif!D25</f>
        <v>527</v>
      </c>
      <c r="D22" s="3" t="str">
        <f>IF(C22=Setup!$B$5,Setup!$C$5,Setup!$C$6)</f>
        <v>Ethiopia natural (light roast)</v>
      </c>
      <c r="E22" s="3">
        <f>IF(COUNTA(Afektif!E25:N25)&gt;0,1,0)</f>
        <v>1</v>
      </c>
      <c r="F22" s="3">
        <f>IF(Afektif!E25="","",Afektif!E25)</f>
        <v>8</v>
      </c>
      <c r="G22" s="3">
        <f>IF(Afektif!F25="","",Afektif!F25)</f>
        <v>6</v>
      </c>
      <c r="H22" s="3">
        <f>IF(Afektif!G25="","",Afektif!G25)</f>
        <v>7</v>
      </c>
      <c r="I22" s="3">
        <f>IF(Afektif!H25="","",Afektif!H25)</f>
        <v>8</v>
      </c>
      <c r="J22" s="3">
        <f>IF(Afektif!I25="","",Afektif!I25)</f>
        <v>7</v>
      </c>
      <c r="K22" s="3">
        <f>IF(Afektif!J25="","",Afektif!J25)</f>
        <v>8</v>
      </c>
      <c r="L22" s="3">
        <f>IF(Afektif!K25="","",Afektif!K25)</f>
        <v>7</v>
      </c>
      <c r="M22" s="3">
        <f>IF(Afektif!L25="","",Afektif!L25)</f>
        <v>7</v>
      </c>
      <c r="N22" s="3">
        <f>IF(Afektif!M25="","",Afektif!M25)</f>
        <v>0</v>
      </c>
      <c r="O22" s="3">
        <f>IF(Afektif!N25="","",Afektif!N25)</f>
        <v>0</v>
      </c>
      <c r="P22" s="18">
        <f>IF(Afektif!O25="","",Afektif!O25)</f>
        <v>90.8125</v>
      </c>
    </row>
    <row r="23" spans="1:16" ht="15" customHeight="1" x14ac:dyDescent="0.2">
      <c r="A23" s="3" t="str">
        <f>Afektif!A26</f>
        <v>P11</v>
      </c>
      <c r="B23" s="3">
        <f>Afektif!C26</f>
        <v>2</v>
      </c>
      <c r="C23" s="3" t="str">
        <f>Afektif!D26</f>
        <v>381</v>
      </c>
      <c r="D23" s="3" t="str">
        <f>IF(C23=Setup!$B$5,Setup!$C$5,Setup!$C$6)</f>
        <v>Robusta Temanggung (dark roast)</v>
      </c>
      <c r="E23" s="3">
        <f>IF(COUNTA(Afektif!E26:N26)&gt;0,1,0)</f>
        <v>1</v>
      </c>
      <c r="F23" s="3">
        <f>IF(Afektif!E26="","",Afektif!E26)</f>
        <v>5</v>
      </c>
      <c r="G23" s="3">
        <f>IF(Afektif!F26="","",Afektif!F26)</f>
        <v>7</v>
      </c>
      <c r="H23" s="3">
        <f>IF(Afektif!G26="","",Afektif!G26)</f>
        <v>5</v>
      </c>
      <c r="I23" s="3">
        <f>IF(Afektif!H26="","",Afektif!H26)</f>
        <v>6</v>
      </c>
      <c r="J23" s="3">
        <f>IF(Afektif!I26="","",Afektif!I26)</f>
        <v>8</v>
      </c>
      <c r="K23" s="3">
        <f>IF(Afektif!J26="","",Afektif!J26)</f>
        <v>4</v>
      </c>
      <c r="L23" s="3">
        <f>IF(Afektif!K26="","",Afektif!K26)</f>
        <v>6</v>
      </c>
      <c r="M23" s="3">
        <f>IF(Afektif!L26="","",Afektif!L26)</f>
        <v>5</v>
      </c>
      <c r="N23" s="3">
        <f>IF(Afektif!M26="","",Afektif!M26)</f>
        <v>0</v>
      </c>
      <c r="O23" s="3">
        <f>IF(Afektif!N26="","",Afektif!N26)</f>
        <v>0</v>
      </c>
      <c r="P23" s="18">
        <f>IF(Afektif!O26="","",Afektif!O26)</f>
        <v>82.9375</v>
      </c>
    </row>
    <row r="24" spans="1:16" ht="15" customHeight="1" x14ac:dyDescent="0.2">
      <c r="A24" s="3" t="str">
        <f>Afektif!A27</f>
        <v>P12</v>
      </c>
      <c r="B24" s="3">
        <f>Afektif!C27</f>
        <v>1</v>
      </c>
      <c r="C24" s="3" t="str">
        <f>Afektif!D27</f>
        <v>527</v>
      </c>
      <c r="D24" s="3" t="str">
        <f>IF(C24=Setup!$B$5,Setup!$C$5,Setup!$C$6)</f>
        <v>Ethiopia natural (light roast)</v>
      </c>
      <c r="E24" s="3">
        <f>IF(COUNTA(Afektif!E27:N27)&gt;0,1,0)</f>
        <v>1</v>
      </c>
      <c r="F24" s="3">
        <f>IF(Afektif!E27="","",Afektif!E27)</f>
        <v>7</v>
      </c>
      <c r="G24" s="3">
        <f>IF(Afektif!F27="","",Afektif!F27)</f>
        <v>9</v>
      </c>
      <c r="H24" s="3">
        <f>IF(Afektif!G27="","",Afektif!G27)</f>
        <v>8</v>
      </c>
      <c r="I24" s="3">
        <f>IF(Afektif!H27="","",Afektif!H27)</f>
        <v>9</v>
      </c>
      <c r="J24" s="3">
        <f>IF(Afektif!I27="","",Afektif!I27)</f>
        <v>7</v>
      </c>
      <c r="K24" s="3">
        <f>IF(Afektif!J27="","",Afektif!J27)</f>
        <v>8</v>
      </c>
      <c r="L24" s="3">
        <f>IF(Afektif!K27="","",Afektif!K27)</f>
        <v>7</v>
      </c>
      <c r="M24" s="3">
        <f>IF(Afektif!L27="","",Afektif!L27)</f>
        <v>8</v>
      </c>
      <c r="N24" s="3">
        <f>IF(Afektif!M27="","",Afektif!M27)</f>
        <v>0</v>
      </c>
      <c r="O24" s="3">
        <f>IF(Afektif!N27="","",Afektif!N27)</f>
        <v>0</v>
      </c>
      <c r="P24" s="18">
        <f>IF(Afektif!O27="","",Afektif!O27)</f>
        <v>94.09375</v>
      </c>
    </row>
    <row r="25" spans="1:16" ht="15" customHeight="1" x14ac:dyDescent="0.2">
      <c r="A25" s="3" t="str">
        <f>Afektif!A28</f>
        <v>P12</v>
      </c>
      <c r="B25" s="3">
        <f>Afektif!C28</f>
        <v>2</v>
      </c>
      <c r="C25" s="3" t="str">
        <f>Afektif!D28</f>
        <v>381</v>
      </c>
      <c r="D25" s="3" t="str">
        <f>IF(C25=Setup!$B$5,Setup!$C$5,Setup!$C$6)</f>
        <v>Robusta Temanggung (dark roast)</v>
      </c>
      <c r="E25" s="3">
        <f>IF(COUNTA(Afektif!E28:N28)&gt;0,1,0)</f>
        <v>1</v>
      </c>
      <c r="F25" s="3">
        <f>IF(Afektif!E28="","",Afektif!E28)</f>
        <v>7</v>
      </c>
      <c r="G25" s="3">
        <f>IF(Afektif!F28="","",Afektif!F28)</f>
        <v>5</v>
      </c>
      <c r="H25" s="3">
        <f>IF(Afektif!G28="","",Afektif!G28)</f>
        <v>6</v>
      </c>
      <c r="I25" s="3">
        <f>IF(Afektif!H28="","",Afektif!H28)</f>
        <v>5</v>
      </c>
      <c r="J25" s="3">
        <f>IF(Afektif!I28="","",Afektif!I28)</f>
        <v>5</v>
      </c>
      <c r="K25" s="3">
        <f>IF(Afektif!J28="","",Afektif!J28)</f>
        <v>7</v>
      </c>
      <c r="L25" s="3">
        <f>IF(Afektif!K28="","",Afektif!K28)</f>
        <v>5</v>
      </c>
      <c r="M25" s="3">
        <f>IF(Afektif!L28="","",Afektif!L28)</f>
        <v>6</v>
      </c>
      <c r="N25" s="3">
        <f>IF(Afektif!M28="","",Afektif!M28)</f>
        <v>0</v>
      </c>
      <c r="O25" s="3">
        <f>IF(Afektif!N28="","",Afektif!N28)</f>
        <v>0</v>
      </c>
      <c r="P25" s="18">
        <f>IF(Afektif!O28="","",Afektif!O28)</f>
        <v>82.9375</v>
      </c>
    </row>
    <row r="26" spans="1:16" ht="15" customHeight="1" x14ac:dyDescent="0.2">
      <c r="A26" s="3" t="str">
        <f>Afektif!A29</f>
        <v>P13</v>
      </c>
      <c r="B26" s="3">
        <f>Afektif!C29</f>
        <v>1</v>
      </c>
      <c r="C26" s="3" t="str">
        <f>Afektif!D29</f>
        <v>527</v>
      </c>
      <c r="D26" s="3" t="str">
        <f>IF(C26=Setup!$B$5,Setup!$C$5,Setup!$C$6)</f>
        <v>Ethiopia natural (light roast)</v>
      </c>
      <c r="E26" s="3">
        <f>IF(COUNTA(Afektif!E29:N29)&gt;0,1,0)</f>
        <v>1</v>
      </c>
      <c r="F26" s="3">
        <f>IF(Afektif!E29="","",Afektif!E29)</f>
        <v>7</v>
      </c>
      <c r="G26" s="3">
        <f>IF(Afektif!F29="","",Afektif!F29)</f>
        <v>8</v>
      </c>
      <c r="H26" s="3">
        <f>IF(Afektif!G29="","",Afektif!G29)</f>
        <v>7</v>
      </c>
      <c r="I26" s="3">
        <f>IF(Afektif!H29="","",Afektif!H29)</f>
        <v>5</v>
      </c>
      <c r="J26" s="3">
        <f>IF(Afektif!I29="","",Afektif!I29)</f>
        <v>7</v>
      </c>
      <c r="K26" s="3">
        <f>IF(Afektif!J29="","",Afektif!J29)</f>
        <v>6</v>
      </c>
      <c r="L26" s="3">
        <f>IF(Afektif!K29="","",Afektif!K29)</f>
        <v>8</v>
      </c>
      <c r="M26" s="3">
        <f>IF(Afektif!L29="","",Afektif!L29)</f>
        <v>7</v>
      </c>
      <c r="N26" s="3">
        <f>IF(Afektif!M29="","",Afektif!M29)</f>
        <v>0</v>
      </c>
      <c r="O26" s="3">
        <f>IF(Afektif!N29="","",Afektif!N29)</f>
        <v>0</v>
      </c>
      <c r="P26" s="18">
        <f>IF(Afektif!O29="","",Afektif!O29)</f>
        <v>88.84375</v>
      </c>
    </row>
    <row r="27" spans="1:16" ht="15" customHeight="1" x14ac:dyDescent="0.2">
      <c r="A27" s="3" t="str">
        <f>Afektif!A30</f>
        <v>P13</v>
      </c>
      <c r="B27" s="3">
        <f>Afektif!C30</f>
        <v>2</v>
      </c>
      <c r="C27" s="3" t="str">
        <f>Afektif!D30</f>
        <v>381</v>
      </c>
      <c r="D27" s="3" t="str">
        <f>IF(C27=Setup!$B$5,Setup!$C$5,Setup!$C$6)</f>
        <v>Robusta Temanggung (dark roast)</v>
      </c>
      <c r="E27" s="3">
        <f>IF(COUNTA(Afektif!E30:N30)&gt;0,1,0)</f>
        <v>1</v>
      </c>
      <c r="F27" s="3">
        <f>IF(Afektif!E30="","",Afektif!E30)</f>
        <v>4</v>
      </c>
      <c r="G27" s="3">
        <f>IF(Afektif!F30="","",Afektif!F30)</f>
        <v>8</v>
      </c>
      <c r="H27" s="3">
        <f>IF(Afektif!G30="","",Afektif!G30)</f>
        <v>4</v>
      </c>
      <c r="I27" s="3">
        <f>IF(Afektif!H30="","",Afektif!H30)</f>
        <v>6</v>
      </c>
      <c r="J27" s="3">
        <f>IF(Afektif!I30="","",Afektif!I30)</f>
        <v>6</v>
      </c>
      <c r="K27" s="3">
        <f>IF(Afektif!J30="","",Afektif!J30)</f>
        <v>6</v>
      </c>
      <c r="L27" s="3">
        <f>IF(Afektif!K30="","",Afektif!K30)</f>
        <v>6</v>
      </c>
      <c r="M27" s="3">
        <f>IF(Afektif!L30="","",Afektif!L30)</f>
        <v>7</v>
      </c>
      <c r="N27" s="3">
        <f>IF(Afektif!M30="","",Afektif!M30)</f>
        <v>0</v>
      </c>
      <c r="O27" s="3">
        <f>IF(Afektif!N30="","",Afektif!N30)</f>
        <v>0</v>
      </c>
      <c r="P27" s="18">
        <f>IF(Afektif!O30="","",Afektif!O30)</f>
        <v>83.59375</v>
      </c>
    </row>
    <row r="28" spans="1:16" ht="15" customHeight="1" x14ac:dyDescent="0.2">
      <c r="A28" s="3" t="str">
        <f>Afektif!A31</f>
        <v>P14</v>
      </c>
      <c r="B28" s="3">
        <f>Afektif!C31</f>
        <v>1</v>
      </c>
      <c r="C28" s="3" t="str">
        <f>Afektif!D31</f>
        <v>527</v>
      </c>
      <c r="D28" s="3" t="str">
        <f>IF(C28=Setup!$B$5,Setup!$C$5,Setup!$C$6)</f>
        <v>Ethiopia natural (light roast)</v>
      </c>
      <c r="E28" s="3">
        <f>IF(COUNTA(Afektif!E31:N31)&gt;0,1,0)</f>
        <v>1</v>
      </c>
      <c r="F28" s="3">
        <f>IF(Afektif!E31="","",Afektif!E31)</f>
        <v>7</v>
      </c>
      <c r="G28" s="3">
        <f>IF(Afektif!F31="","",Afektif!F31)</f>
        <v>5</v>
      </c>
      <c r="H28" s="3">
        <f>IF(Afektif!G31="","",Afektif!G31)</f>
        <v>8</v>
      </c>
      <c r="I28" s="3">
        <f>IF(Afektif!H31="","",Afektif!H31)</f>
        <v>7</v>
      </c>
      <c r="J28" s="3">
        <f>IF(Afektif!I31="","",Afektif!I31)</f>
        <v>8</v>
      </c>
      <c r="K28" s="3">
        <f>IF(Afektif!J31="","",Afektif!J31)</f>
        <v>7</v>
      </c>
      <c r="L28" s="3">
        <f>IF(Afektif!K31="","",Afektif!K31)</f>
        <v>9</v>
      </c>
      <c r="M28" s="3">
        <f>IF(Afektif!L31="","",Afektif!L31)</f>
        <v>8</v>
      </c>
      <c r="N28" s="3">
        <f>IF(Afektif!M31="","",Afektif!M31)</f>
        <v>0</v>
      </c>
      <c r="O28" s="3">
        <f>IF(Afektif!N31="","",Afektif!N31)</f>
        <v>0</v>
      </c>
      <c r="P28" s="18">
        <f>IF(Afektif!O31="","",Afektif!O31)</f>
        <v>91.46875</v>
      </c>
    </row>
    <row r="29" spans="1:16" ht="15" customHeight="1" x14ac:dyDescent="0.2">
      <c r="A29" s="3" t="str">
        <f>Afektif!A32</f>
        <v>P14</v>
      </c>
      <c r="B29" s="3">
        <f>Afektif!C32</f>
        <v>2</v>
      </c>
      <c r="C29" s="3" t="str">
        <f>Afektif!D32</f>
        <v>381</v>
      </c>
      <c r="D29" s="3" t="str">
        <f>IF(C29=Setup!$B$5,Setup!$C$5,Setup!$C$6)</f>
        <v>Robusta Temanggung (dark roast)</v>
      </c>
      <c r="E29" s="3">
        <f>IF(COUNTA(Afektif!E32:N32)&gt;0,1,0)</f>
        <v>1</v>
      </c>
      <c r="F29" s="3">
        <f>IF(Afektif!E32="","",Afektif!E32)</f>
        <v>7</v>
      </c>
      <c r="G29" s="3">
        <f>IF(Afektif!F32="","",Afektif!F32)</f>
        <v>6</v>
      </c>
      <c r="H29" s="3">
        <f>IF(Afektif!G32="","",Afektif!G32)</f>
        <v>4</v>
      </c>
      <c r="I29" s="3">
        <f>IF(Afektif!H32="","",Afektif!H32)</f>
        <v>6</v>
      </c>
      <c r="J29" s="3">
        <f>IF(Afektif!I32="","",Afektif!I32)</f>
        <v>6</v>
      </c>
      <c r="K29" s="3">
        <f>IF(Afektif!J32="","",Afektif!J32)</f>
        <v>7</v>
      </c>
      <c r="L29" s="3">
        <f>IF(Afektif!K32="","",Afektif!K32)</f>
        <v>5</v>
      </c>
      <c r="M29" s="3">
        <f>IF(Afektif!L32="","",Afektif!L32)</f>
        <v>7</v>
      </c>
      <c r="N29" s="3">
        <f>IF(Afektif!M32="","",Afektif!M32)</f>
        <v>0</v>
      </c>
      <c r="O29" s="3">
        <f>IF(Afektif!N32="","",Afektif!N32)</f>
        <v>0</v>
      </c>
      <c r="P29" s="18">
        <f>IF(Afektif!O32="","",Afektif!O32)</f>
        <v>84.25</v>
      </c>
    </row>
    <row r="30" spans="1:16" ht="15" customHeight="1" x14ac:dyDescent="0.2">
      <c r="A30" s="3" t="str">
        <f>Afektif!A33</f>
        <v>P15</v>
      </c>
      <c r="B30" s="3">
        <f>Afektif!C33</f>
        <v>1</v>
      </c>
      <c r="C30" s="3" t="str">
        <f>Afektif!D33</f>
        <v>527</v>
      </c>
      <c r="D30" s="3" t="str">
        <f>IF(C30=Setup!$B$5,Setup!$C$5,Setup!$C$6)</f>
        <v>Ethiopia natural (light roast)</v>
      </c>
      <c r="E30" s="3">
        <f>IF(COUNTA(Afektif!E33:N33)&gt;0,1,0)</f>
        <v>1</v>
      </c>
      <c r="F30" s="3">
        <f>IF(Afektif!E33="","",Afektif!E33)</f>
        <v>8</v>
      </c>
      <c r="G30" s="3">
        <f>IF(Afektif!F33="","",Afektif!F33)</f>
        <v>6</v>
      </c>
      <c r="H30" s="3">
        <f>IF(Afektif!G33="","",Afektif!G33)</f>
        <v>8</v>
      </c>
      <c r="I30" s="3">
        <f>IF(Afektif!H33="","",Afektif!H33)</f>
        <v>6</v>
      </c>
      <c r="J30" s="3">
        <f>IF(Afektif!I33="","",Afektif!I33)</f>
        <v>7</v>
      </c>
      <c r="K30" s="3">
        <f>IF(Afektif!J33="","",Afektif!J33)</f>
        <v>6</v>
      </c>
      <c r="L30" s="3">
        <f>IF(Afektif!K33="","",Afektif!K33)</f>
        <v>7</v>
      </c>
      <c r="M30" s="3">
        <f>IF(Afektif!L33="","",Afektif!L33)</f>
        <v>9</v>
      </c>
      <c r="N30" s="3">
        <f>IF(Afektif!M33="","",Afektif!M33)</f>
        <v>0</v>
      </c>
      <c r="O30" s="3">
        <f>IF(Afektif!N33="","",Afektif!N33)</f>
        <v>0</v>
      </c>
      <c r="P30" s="18">
        <f>IF(Afektif!O33="","",Afektif!O33)</f>
        <v>90.15625</v>
      </c>
    </row>
    <row r="31" spans="1:16" ht="15" customHeight="1" x14ac:dyDescent="0.2">
      <c r="A31" s="3" t="str">
        <f>Afektif!A34</f>
        <v>P15</v>
      </c>
      <c r="B31" s="3">
        <f>Afektif!C34</f>
        <v>2</v>
      </c>
      <c r="C31" s="3" t="str">
        <f>Afektif!D34</f>
        <v>381</v>
      </c>
      <c r="D31" s="3" t="str">
        <f>IF(C31=Setup!$B$5,Setup!$C$5,Setup!$C$6)</f>
        <v>Robusta Temanggung (dark roast)</v>
      </c>
      <c r="E31" s="3">
        <f>IF(COUNTA(Afektif!E34:N34)&gt;0,1,0)</f>
        <v>1</v>
      </c>
      <c r="F31" s="3">
        <f>IF(Afektif!E34="","",Afektif!E34)</f>
        <v>6</v>
      </c>
      <c r="G31" s="3">
        <f>IF(Afektif!F34="","",Afektif!F34)</f>
        <v>8</v>
      </c>
      <c r="H31" s="3">
        <f>IF(Afektif!G34="","",Afektif!G34)</f>
        <v>8</v>
      </c>
      <c r="I31" s="3">
        <f>IF(Afektif!H34="","",Afektif!H34)</f>
        <v>5</v>
      </c>
      <c r="J31" s="3">
        <f>IF(Afektif!I34="","",Afektif!I34)</f>
        <v>6</v>
      </c>
      <c r="K31" s="3">
        <f>IF(Afektif!J34="","",Afektif!J34)</f>
        <v>5</v>
      </c>
      <c r="L31" s="3">
        <f>IF(Afektif!K34="","",Afektif!K34)</f>
        <v>7</v>
      </c>
      <c r="M31" s="3">
        <f>IF(Afektif!L34="","",Afektif!L34)</f>
        <v>7</v>
      </c>
      <c r="N31" s="3">
        <f>IF(Afektif!M34="","",Afektif!M34)</f>
        <v>0</v>
      </c>
      <c r="O31" s="3">
        <f>IF(Afektif!N34="","",Afektif!N34)</f>
        <v>0</v>
      </c>
      <c r="P31" s="18">
        <f>IF(Afektif!O34="","",Afektif!O34)</f>
        <v>86.875</v>
      </c>
    </row>
    <row r="32" spans="1:16" ht="15" customHeight="1" x14ac:dyDescent="0.2">
      <c r="A32" s="3" t="str">
        <f>Afektif!A35</f>
        <v>P16</v>
      </c>
      <c r="B32" s="3">
        <f>Afektif!C35</f>
        <v>1</v>
      </c>
      <c r="C32" s="3" t="str">
        <f>Afektif!D35</f>
        <v>527</v>
      </c>
      <c r="D32" s="3" t="str">
        <f>IF(C32=Setup!$B$5,Setup!$C$5,Setup!$C$6)</f>
        <v>Ethiopia natural (light roast)</v>
      </c>
      <c r="E32" s="3">
        <f>IF(COUNTA(Afektif!E35:N35)&gt;0,1,0)</f>
        <v>1</v>
      </c>
      <c r="F32" s="3">
        <f>IF(Afektif!E35="","",Afektif!E35)</f>
        <v>7</v>
      </c>
      <c r="G32" s="3">
        <f>IF(Afektif!F35="","",Afektif!F35)</f>
        <v>8</v>
      </c>
      <c r="H32" s="3">
        <f>IF(Afektif!G35="","",Afektif!G35)</f>
        <v>8</v>
      </c>
      <c r="I32" s="3">
        <f>IF(Afektif!H35="","",Afektif!H35)</f>
        <v>8</v>
      </c>
      <c r="J32" s="3">
        <f>IF(Afektif!I35="","",Afektif!I35)</f>
        <v>8</v>
      </c>
      <c r="K32" s="3">
        <f>IF(Afektif!J35="","",Afektif!J35)</f>
        <v>6</v>
      </c>
      <c r="L32" s="3">
        <f>IF(Afektif!K35="","",Afektif!K35)</f>
        <v>7</v>
      </c>
      <c r="M32" s="3">
        <f>IF(Afektif!L35="","",Afektif!L35)</f>
        <v>7</v>
      </c>
      <c r="N32" s="3">
        <f>IF(Afektif!M35="","",Afektif!M35)</f>
        <v>0</v>
      </c>
      <c r="O32" s="3">
        <f>IF(Afektif!N35="","",Afektif!N35)</f>
        <v>0</v>
      </c>
      <c r="P32" s="18">
        <f>IF(Afektif!O35="","",Afektif!O35)</f>
        <v>91.46875</v>
      </c>
    </row>
    <row r="33" spans="1:16" ht="15" customHeight="1" x14ac:dyDescent="0.2">
      <c r="A33" s="3" t="str">
        <f>Afektif!A36</f>
        <v>P16</v>
      </c>
      <c r="B33" s="3">
        <f>Afektif!C36</f>
        <v>2</v>
      </c>
      <c r="C33" s="3" t="str">
        <f>Afektif!D36</f>
        <v>381</v>
      </c>
      <c r="D33" s="3" t="str">
        <f>IF(C33=Setup!$B$5,Setup!$C$5,Setup!$C$6)</f>
        <v>Robusta Temanggung (dark roast)</v>
      </c>
      <c r="E33" s="3">
        <f>IF(COUNTA(Afektif!E36:N36)&gt;0,1,0)</f>
        <v>1</v>
      </c>
      <c r="F33" s="3">
        <f>IF(Afektif!E36="","",Afektif!E36)</f>
        <v>7</v>
      </c>
      <c r="G33" s="3">
        <f>IF(Afektif!F36="","",Afektif!F36)</f>
        <v>6</v>
      </c>
      <c r="H33" s="3">
        <f>IF(Afektif!G36="","",Afektif!G36)</f>
        <v>5</v>
      </c>
      <c r="I33" s="3">
        <f>IF(Afektif!H36="","",Afektif!H36)</f>
        <v>6</v>
      </c>
      <c r="J33" s="3">
        <f>IF(Afektif!I36="","",Afektif!I36)</f>
        <v>5</v>
      </c>
      <c r="K33" s="3">
        <f>IF(Afektif!J36="","",Afektif!J36)</f>
        <v>7</v>
      </c>
      <c r="L33" s="3">
        <f>IF(Afektif!K36="","",Afektif!K36)</f>
        <v>4</v>
      </c>
      <c r="M33" s="3">
        <f>IF(Afektif!L36="","",Afektif!L36)</f>
        <v>6</v>
      </c>
      <c r="N33" s="3">
        <f>IF(Afektif!M36="","",Afektif!M36)</f>
        <v>0</v>
      </c>
      <c r="O33" s="3">
        <f>IF(Afektif!N36="","",Afektif!N36)</f>
        <v>0</v>
      </c>
      <c r="P33" s="18">
        <f>IF(Afektif!O36="","",Afektif!O36)</f>
        <v>82.9375</v>
      </c>
    </row>
    <row r="34" spans="1:16" ht="15" customHeight="1" x14ac:dyDescent="0.2">
      <c r="A34" s="3" t="str">
        <f>Afektif!A37</f>
        <v>P17</v>
      </c>
      <c r="B34" s="3">
        <f>Afektif!C37</f>
        <v>1</v>
      </c>
      <c r="C34" s="3" t="str">
        <f>Afektif!D37</f>
        <v>527</v>
      </c>
      <c r="D34" s="3" t="str">
        <f>IF(C34=Setup!$B$5,Setup!$C$5,Setup!$C$6)</f>
        <v>Ethiopia natural (light roast)</v>
      </c>
      <c r="E34" s="3">
        <f>IF(COUNTA(Afektif!E37:N37)&gt;0,1,0)</f>
        <v>1</v>
      </c>
      <c r="F34" s="3">
        <f>IF(Afektif!E37="","",Afektif!E37)</f>
        <v>6</v>
      </c>
      <c r="G34" s="3">
        <f>IF(Afektif!F37="","",Afektif!F37)</f>
        <v>6</v>
      </c>
      <c r="H34" s="3">
        <f>IF(Afektif!G37="","",Afektif!G37)</f>
        <v>7</v>
      </c>
      <c r="I34" s="3">
        <f>IF(Afektif!H37="","",Afektif!H37)</f>
        <v>8</v>
      </c>
      <c r="J34" s="3">
        <f>IF(Afektif!I37="","",Afektif!I37)</f>
        <v>7</v>
      </c>
      <c r="K34" s="3">
        <f>IF(Afektif!J37="","",Afektif!J37)</f>
        <v>9</v>
      </c>
      <c r="L34" s="3">
        <f>IF(Afektif!K37="","",Afektif!K37)</f>
        <v>6</v>
      </c>
      <c r="M34" s="3">
        <f>IF(Afektif!L37="","",Afektif!L37)</f>
        <v>6</v>
      </c>
      <c r="N34" s="3">
        <f>IF(Afektif!M37="","",Afektif!M37)</f>
        <v>0</v>
      </c>
      <c r="O34" s="3">
        <f>IF(Afektif!N37="","",Afektif!N37)</f>
        <v>0</v>
      </c>
      <c r="P34" s="18">
        <f>IF(Afektif!O37="","",Afektif!O37)</f>
        <v>88.84375</v>
      </c>
    </row>
    <row r="35" spans="1:16" ht="15" customHeight="1" x14ac:dyDescent="0.2">
      <c r="A35" s="3" t="str">
        <f>Afektif!A38</f>
        <v>P17</v>
      </c>
      <c r="B35" s="3">
        <f>Afektif!C38</f>
        <v>2</v>
      </c>
      <c r="C35" s="3" t="str">
        <f>Afektif!D38</f>
        <v>381</v>
      </c>
      <c r="D35" s="3" t="str">
        <f>IF(C35=Setup!$B$5,Setup!$C$5,Setup!$C$6)</f>
        <v>Robusta Temanggung (dark roast)</v>
      </c>
      <c r="E35" s="3">
        <f>IF(COUNTA(Afektif!E38:N38)&gt;0,1,0)</f>
        <v>1</v>
      </c>
      <c r="F35" s="3">
        <f>IF(Afektif!E38="","",Afektif!E38)</f>
        <v>8</v>
      </c>
      <c r="G35" s="3">
        <f>IF(Afektif!F38="","",Afektif!F38)</f>
        <v>4</v>
      </c>
      <c r="H35" s="3">
        <f>IF(Afektif!G38="","",Afektif!G38)</f>
        <v>5</v>
      </c>
      <c r="I35" s="3">
        <f>IF(Afektif!H38="","",Afektif!H38)</f>
        <v>4</v>
      </c>
      <c r="J35" s="3">
        <f>IF(Afektif!I38="","",Afektif!I38)</f>
        <v>6</v>
      </c>
      <c r="K35" s="3">
        <f>IF(Afektif!J38="","",Afektif!J38)</f>
        <v>6</v>
      </c>
      <c r="L35" s="3">
        <f>IF(Afektif!K38="","",Afektif!K38)</f>
        <v>4</v>
      </c>
      <c r="M35" s="3">
        <f>IF(Afektif!L38="","",Afektif!L38)</f>
        <v>4</v>
      </c>
      <c r="N35" s="3">
        <f>IF(Afektif!M38="","",Afektif!M38)</f>
        <v>0</v>
      </c>
      <c r="O35" s="3">
        <f>IF(Afektif!N38="","",Afektif!N38)</f>
        <v>0</v>
      </c>
      <c r="P35" s="18">
        <f>IF(Afektif!O38="","",Afektif!O38)</f>
        <v>79.65625</v>
      </c>
    </row>
    <row r="36" spans="1:16" ht="15" customHeight="1" x14ac:dyDescent="0.2">
      <c r="A36" s="3" t="str">
        <f>Afektif!A39</f>
        <v>P18</v>
      </c>
      <c r="B36" s="3">
        <f>Afektif!C39</f>
        <v>1</v>
      </c>
      <c r="C36" s="3" t="str">
        <f>Afektif!D39</f>
        <v>527</v>
      </c>
      <c r="D36" s="3" t="str">
        <f>IF(C36=Setup!$B$5,Setup!$C$5,Setup!$C$6)</f>
        <v>Ethiopia natural (light roast)</v>
      </c>
      <c r="E36" s="3">
        <f>IF(COUNTA(Afektif!E39:N39)&gt;0,1,0)</f>
        <v>1</v>
      </c>
      <c r="F36" s="3">
        <f>IF(Afektif!E39="","",Afektif!E39)</f>
        <v>6</v>
      </c>
      <c r="G36" s="3">
        <f>IF(Afektif!F39="","",Afektif!F39)</f>
        <v>6</v>
      </c>
      <c r="H36" s="3">
        <f>IF(Afektif!G39="","",Afektif!G39)</f>
        <v>8</v>
      </c>
      <c r="I36" s="3">
        <f>IF(Afektif!H39="","",Afektif!H39)</f>
        <v>7</v>
      </c>
      <c r="J36" s="3">
        <f>IF(Afektif!I39="","",Afektif!I39)</f>
        <v>8</v>
      </c>
      <c r="K36" s="3">
        <f>IF(Afektif!J39="","",Afektif!J39)</f>
        <v>9</v>
      </c>
      <c r="L36" s="3">
        <f>IF(Afektif!K39="","",Afektif!K39)</f>
        <v>9</v>
      </c>
      <c r="M36" s="3">
        <f>IF(Afektif!L39="","",Afektif!L39)</f>
        <v>7</v>
      </c>
      <c r="N36" s="3">
        <f>IF(Afektif!M39="","",Afektif!M39)</f>
        <v>0</v>
      </c>
      <c r="O36" s="3">
        <f>IF(Afektif!N39="","",Afektif!N39)</f>
        <v>0</v>
      </c>
      <c r="P36" s="18">
        <f>IF(Afektif!O39="","",Afektif!O39)</f>
        <v>92.125</v>
      </c>
    </row>
    <row r="37" spans="1:16" ht="15" customHeight="1" x14ac:dyDescent="0.2">
      <c r="A37" s="3" t="str">
        <f>Afektif!A40</f>
        <v>P18</v>
      </c>
      <c r="B37" s="3">
        <f>Afektif!C40</f>
        <v>2</v>
      </c>
      <c r="C37" s="3" t="str">
        <f>Afektif!D40</f>
        <v>381</v>
      </c>
      <c r="D37" s="3" t="str">
        <f>IF(C37=Setup!$B$5,Setup!$C$5,Setup!$C$6)</f>
        <v>Robusta Temanggung (dark roast)</v>
      </c>
      <c r="E37" s="3">
        <f>IF(COUNTA(Afektif!E40:N40)&gt;0,1,0)</f>
        <v>1</v>
      </c>
      <c r="F37" s="3">
        <f>IF(Afektif!E40="","",Afektif!E40)</f>
        <v>6</v>
      </c>
      <c r="G37" s="3">
        <f>IF(Afektif!F40="","",Afektif!F40)</f>
        <v>5</v>
      </c>
      <c r="H37" s="3">
        <f>IF(Afektif!G40="","",Afektif!G40)</f>
        <v>6</v>
      </c>
      <c r="I37" s="3">
        <f>IF(Afektif!H40="","",Afektif!H40)</f>
        <v>6</v>
      </c>
      <c r="J37" s="3">
        <f>IF(Afektif!I40="","",Afektif!I40)</f>
        <v>7</v>
      </c>
      <c r="K37" s="3">
        <f>IF(Afektif!J40="","",Afektif!J40)</f>
        <v>5</v>
      </c>
      <c r="L37" s="3">
        <f>IF(Afektif!K40="","",Afektif!K40)</f>
        <v>5</v>
      </c>
      <c r="M37" s="3">
        <f>IF(Afektif!L40="","",Afektif!L40)</f>
        <v>5</v>
      </c>
      <c r="N37" s="3">
        <f>IF(Afektif!M40="","",Afektif!M40)</f>
        <v>0</v>
      </c>
      <c r="O37" s="3">
        <f>IF(Afektif!N40="","",Afektif!N40)</f>
        <v>0</v>
      </c>
      <c r="P37" s="18">
        <f>IF(Afektif!O40="","",Afektif!O40)</f>
        <v>82.28125</v>
      </c>
    </row>
    <row r="38" spans="1:16" ht="15" customHeight="1" x14ac:dyDescent="0.2">
      <c r="A38" s="3" t="str">
        <f>Afektif!A41</f>
        <v>P19</v>
      </c>
      <c r="B38" s="3">
        <f>Afektif!C41</f>
        <v>1</v>
      </c>
      <c r="C38" s="3" t="str">
        <f>Afektif!D41</f>
        <v>527</v>
      </c>
      <c r="D38" s="3" t="str">
        <f>IF(C38=Setup!$B$5,Setup!$C$5,Setup!$C$6)</f>
        <v>Ethiopia natural (light roast)</v>
      </c>
      <c r="E38" s="3">
        <f>IF(COUNTA(Afektif!E41:N41)&gt;0,1,0)</f>
        <v>1</v>
      </c>
      <c r="F38" s="3">
        <f>IF(Afektif!E41="","",Afektif!E41)</f>
        <v>8</v>
      </c>
      <c r="G38" s="3">
        <f>IF(Afektif!F41="","",Afektif!F41)</f>
        <v>8</v>
      </c>
      <c r="H38" s="3">
        <f>IF(Afektif!G41="","",Afektif!G41)</f>
        <v>7</v>
      </c>
      <c r="I38" s="3">
        <f>IF(Afektif!H41="","",Afektif!H41)</f>
        <v>6</v>
      </c>
      <c r="J38" s="3">
        <f>IF(Afektif!I41="","",Afektif!I41)</f>
        <v>6</v>
      </c>
      <c r="K38" s="3">
        <f>IF(Afektif!J41="","",Afektif!J41)</f>
        <v>7</v>
      </c>
      <c r="L38" s="3">
        <f>IF(Afektif!K41="","",Afektif!K41)</f>
        <v>7</v>
      </c>
      <c r="M38" s="3">
        <f>IF(Afektif!L41="","",Afektif!L41)</f>
        <v>7</v>
      </c>
      <c r="N38" s="3">
        <f>IF(Afektif!M41="","",Afektif!M41)</f>
        <v>0</v>
      </c>
      <c r="O38" s="3">
        <f>IF(Afektif!N41="","",Afektif!N41)</f>
        <v>0</v>
      </c>
      <c r="P38" s="18">
        <f>IF(Afektif!O41="","",Afektif!O41)</f>
        <v>89.5</v>
      </c>
    </row>
    <row r="39" spans="1:16" ht="15" customHeight="1" x14ac:dyDescent="0.2">
      <c r="A39" s="3" t="str">
        <f>Afektif!A42</f>
        <v>P19</v>
      </c>
      <c r="B39" s="3">
        <f>Afektif!C42</f>
        <v>2</v>
      </c>
      <c r="C39" s="3" t="str">
        <f>Afektif!D42</f>
        <v>381</v>
      </c>
      <c r="D39" s="3" t="str">
        <f>IF(C39=Setup!$B$5,Setup!$C$5,Setup!$C$6)</f>
        <v>Robusta Temanggung (dark roast)</v>
      </c>
      <c r="E39" s="3">
        <f>IF(COUNTA(Afektif!E42:N42)&gt;0,1,0)</f>
        <v>1</v>
      </c>
      <c r="F39" s="3">
        <f>IF(Afektif!E42="","",Afektif!E42)</f>
        <v>5</v>
      </c>
      <c r="G39" s="3">
        <f>IF(Afektif!F42="","",Afektif!F42)</f>
        <v>6</v>
      </c>
      <c r="H39" s="3">
        <f>IF(Afektif!G42="","",Afektif!G42)</f>
        <v>7</v>
      </c>
      <c r="I39" s="3">
        <f>IF(Afektif!H42="","",Afektif!H42)</f>
        <v>4</v>
      </c>
      <c r="J39" s="3">
        <f>IF(Afektif!I42="","",Afektif!I42)</f>
        <v>4</v>
      </c>
      <c r="K39" s="3">
        <f>IF(Afektif!J42="","",Afektif!J42)</f>
        <v>5</v>
      </c>
      <c r="L39" s="3">
        <f>IF(Afektif!K42="","",Afektif!K42)</f>
        <v>5</v>
      </c>
      <c r="M39" s="3">
        <f>IF(Afektif!L42="","",Afektif!L42)</f>
        <v>5</v>
      </c>
      <c r="N39" s="3">
        <f>IF(Afektif!M42="","",Afektif!M42)</f>
        <v>1</v>
      </c>
      <c r="O39" s="3">
        <f>IF(Afektif!N42="","",Afektif!N42)</f>
        <v>0</v>
      </c>
      <c r="P39" s="18">
        <f>IF(Afektif!O42="","",Afektif!O42)</f>
        <v>77.65625</v>
      </c>
    </row>
    <row r="40" spans="1:16" ht="15" customHeight="1" x14ac:dyDescent="0.2">
      <c r="A40" s="3" t="str">
        <f>Afektif!A43</f>
        <v>P20</v>
      </c>
      <c r="B40" s="3">
        <f>Afektif!C43</f>
        <v>1</v>
      </c>
      <c r="C40" s="3" t="str">
        <f>Afektif!D43</f>
        <v>527</v>
      </c>
      <c r="D40" s="3" t="str">
        <f>IF(C40=Setup!$B$5,Setup!$C$5,Setup!$C$6)</f>
        <v>Ethiopia natural (light roast)</v>
      </c>
      <c r="E40" s="3">
        <f>IF(COUNTA(Afektif!E43:N43)&gt;0,1,0)</f>
        <v>1</v>
      </c>
      <c r="F40" s="3">
        <f>IF(Afektif!E43="","",Afektif!E43)</f>
        <v>9</v>
      </c>
      <c r="G40" s="3">
        <f>IF(Afektif!F43="","",Afektif!F43)</f>
        <v>8</v>
      </c>
      <c r="H40" s="3">
        <f>IF(Afektif!G43="","",Afektif!G43)</f>
        <v>8</v>
      </c>
      <c r="I40" s="3">
        <f>IF(Afektif!H43="","",Afektif!H43)</f>
        <v>6</v>
      </c>
      <c r="J40" s="3">
        <f>IF(Afektif!I43="","",Afektif!I43)</f>
        <v>8</v>
      </c>
      <c r="K40" s="3">
        <f>IF(Afektif!J43="","",Afektif!J43)</f>
        <v>6</v>
      </c>
      <c r="L40" s="3">
        <f>IF(Afektif!K43="","",Afektif!K43)</f>
        <v>7</v>
      </c>
      <c r="M40" s="3">
        <f>IF(Afektif!L43="","",Afektif!L43)</f>
        <v>8</v>
      </c>
      <c r="N40" s="3">
        <f>IF(Afektif!M43="","",Afektif!M43)</f>
        <v>0</v>
      </c>
      <c r="O40" s="3">
        <f>IF(Afektif!N43="","",Afektif!N43)</f>
        <v>0</v>
      </c>
      <c r="P40" s="18">
        <f>IF(Afektif!O43="","",Afektif!O43)</f>
        <v>92.125</v>
      </c>
    </row>
    <row r="41" spans="1:16" ht="15" customHeight="1" x14ac:dyDescent="0.2">
      <c r="A41" s="3" t="str">
        <f>Afektif!A44</f>
        <v>P20</v>
      </c>
      <c r="B41" s="3">
        <f>Afektif!C44</f>
        <v>2</v>
      </c>
      <c r="C41" s="3" t="str">
        <f>Afektif!D44</f>
        <v>381</v>
      </c>
      <c r="D41" s="3" t="str">
        <f>IF(C41=Setup!$B$5,Setup!$C$5,Setup!$C$6)</f>
        <v>Robusta Temanggung (dark roast)</v>
      </c>
      <c r="E41" s="3">
        <f>IF(COUNTA(Afektif!E44:N44)&gt;0,1,0)</f>
        <v>1</v>
      </c>
      <c r="F41" s="3">
        <f>IF(Afektif!E44="","",Afektif!E44)</f>
        <v>7</v>
      </c>
      <c r="G41" s="3">
        <f>IF(Afektif!F44="","",Afektif!F44)</f>
        <v>6</v>
      </c>
      <c r="H41" s="3">
        <f>IF(Afektif!G44="","",Afektif!G44)</f>
        <v>4</v>
      </c>
      <c r="I41" s="3">
        <f>IF(Afektif!H44="","",Afektif!H44)</f>
        <v>7</v>
      </c>
      <c r="J41" s="3">
        <f>IF(Afektif!I44="","",Afektif!I44)</f>
        <v>6</v>
      </c>
      <c r="K41" s="3">
        <f>IF(Afektif!J44="","",Afektif!J44)</f>
        <v>3</v>
      </c>
      <c r="L41" s="3">
        <f>IF(Afektif!K44="","",Afektif!K44)</f>
        <v>6</v>
      </c>
      <c r="M41" s="3">
        <f>IF(Afektif!L44="","",Afektif!L44)</f>
        <v>5</v>
      </c>
      <c r="N41" s="3">
        <f>IF(Afektif!M44="","",Afektif!M44)</f>
        <v>0</v>
      </c>
      <c r="O41" s="3">
        <f>IF(Afektif!N44="","",Afektif!N44)</f>
        <v>0</v>
      </c>
      <c r="P41" s="18">
        <f>IF(Afektif!O44="","",Afektif!O44)</f>
        <v>81.625</v>
      </c>
    </row>
    <row r="42" spans="1:16" ht="15" customHeight="1" x14ac:dyDescent="0.2">
      <c r="A42" s="3" t="str">
        <f>Afektif!A45</f>
        <v>P21</v>
      </c>
      <c r="B42" s="3">
        <f>Afektif!C45</f>
        <v>1</v>
      </c>
      <c r="C42" s="3" t="str">
        <f>Afektif!D45</f>
        <v>527</v>
      </c>
      <c r="D42" s="3" t="str">
        <f>IF(C42=Setup!$B$5,Setup!$C$5,Setup!$C$6)</f>
        <v>Ethiopia natural (light roast)</v>
      </c>
      <c r="E42" s="3">
        <f>IF(COUNTA(Afektif!E45:N45)&gt;0,1,0)</f>
        <v>1</v>
      </c>
      <c r="F42" s="3">
        <f>IF(Afektif!E45="","",Afektif!E45)</f>
        <v>7</v>
      </c>
      <c r="G42" s="3">
        <f>IF(Afektif!F45="","",Afektif!F45)</f>
        <v>9</v>
      </c>
      <c r="H42" s="3">
        <f>IF(Afektif!G45="","",Afektif!G45)</f>
        <v>8</v>
      </c>
      <c r="I42" s="3">
        <f>IF(Afektif!H45="","",Afektif!H45)</f>
        <v>7</v>
      </c>
      <c r="J42" s="3">
        <f>IF(Afektif!I45="","",Afektif!I45)</f>
        <v>7</v>
      </c>
      <c r="K42" s="3">
        <f>IF(Afektif!J45="","",Afektif!J45)</f>
        <v>6</v>
      </c>
      <c r="L42" s="3">
        <f>IF(Afektif!K45="","",Afektif!K45)</f>
        <v>8</v>
      </c>
      <c r="M42" s="3">
        <f>IF(Afektif!L45="","",Afektif!L45)</f>
        <v>7</v>
      </c>
      <c r="N42" s="3">
        <f>IF(Afektif!M45="","",Afektif!M45)</f>
        <v>1</v>
      </c>
      <c r="O42" s="3">
        <f>IF(Afektif!N45="","",Afektif!N45)</f>
        <v>0</v>
      </c>
      <c r="P42" s="18">
        <f>IF(Afektif!O45="","",Afektif!O45)</f>
        <v>89.46875</v>
      </c>
    </row>
    <row r="43" spans="1:16" ht="15" customHeight="1" x14ac:dyDescent="0.2">
      <c r="A43" s="3" t="str">
        <f>Afektif!A46</f>
        <v>P21</v>
      </c>
      <c r="B43" s="3">
        <f>Afektif!C46</f>
        <v>2</v>
      </c>
      <c r="C43" s="3" t="str">
        <f>Afektif!D46</f>
        <v>381</v>
      </c>
      <c r="D43" s="3" t="str">
        <f>IF(C43=Setup!$B$5,Setup!$C$5,Setup!$C$6)</f>
        <v>Robusta Temanggung (dark roast)</v>
      </c>
      <c r="E43" s="3">
        <f>IF(COUNTA(Afektif!E46:N46)&gt;0,1,0)</f>
        <v>1</v>
      </c>
      <c r="F43" s="3">
        <f>IF(Afektif!E46="","",Afektif!E46)</f>
        <v>4</v>
      </c>
      <c r="G43" s="3">
        <f>IF(Afektif!F46="","",Afektif!F46)</f>
        <v>4</v>
      </c>
      <c r="H43" s="3">
        <f>IF(Afektif!G46="","",Afektif!G46)</f>
        <v>6</v>
      </c>
      <c r="I43" s="3">
        <f>IF(Afektif!H46="","",Afektif!H46)</f>
        <v>6</v>
      </c>
      <c r="J43" s="3">
        <f>IF(Afektif!I46="","",Afektif!I46)</f>
        <v>6</v>
      </c>
      <c r="K43" s="3">
        <f>IF(Afektif!J46="","",Afektif!J46)</f>
        <v>5</v>
      </c>
      <c r="L43" s="3">
        <f>IF(Afektif!K46="","",Afektif!K46)</f>
        <v>6</v>
      </c>
      <c r="M43" s="3">
        <f>IF(Afektif!L46="","",Afektif!L46)</f>
        <v>4</v>
      </c>
      <c r="N43" s="3">
        <f>IF(Afektif!M46="","",Afektif!M46)</f>
        <v>0</v>
      </c>
      <c r="O43" s="3">
        <f>IF(Afektif!N46="","",Afektif!N46)</f>
        <v>0</v>
      </c>
      <c r="P43" s="18">
        <f>IF(Afektif!O46="","",Afektif!O46)</f>
        <v>79.65625</v>
      </c>
    </row>
    <row r="44" spans="1:16" ht="15" customHeight="1" x14ac:dyDescent="0.2">
      <c r="A44" s="3" t="str">
        <f>Afektif!A47</f>
        <v>P22</v>
      </c>
      <c r="B44" s="3">
        <f>Afektif!C47</f>
        <v>1</v>
      </c>
      <c r="C44" s="3" t="str">
        <f>Afektif!D47</f>
        <v>527</v>
      </c>
      <c r="D44" s="3" t="str">
        <f>IF(C44=Setup!$B$5,Setup!$C$5,Setup!$C$6)</f>
        <v>Ethiopia natural (light roast)</v>
      </c>
      <c r="E44" s="3">
        <f>IF(COUNTA(Afektif!E47:N47)&gt;0,1,0)</f>
        <v>1</v>
      </c>
      <c r="F44" s="3">
        <f>IF(Afektif!E47="","",Afektif!E47)</f>
        <v>7</v>
      </c>
      <c r="G44" s="3">
        <f>IF(Afektif!F47="","",Afektif!F47)</f>
        <v>6</v>
      </c>
      <c r="H44" s="3">
        <f>IF(Afektif!G47="","",Afektif!G47)</f>
        <v>7</v>
      </c>
      <c r="I44" s="3">
        <f>IF(Afektif!H47="","",Afektif!H47)</f>
        <v>7</v>
      </c>
      <c r="J44" s="3">
        <f>IF(Afektif!I47="","",Afektif!I47)</f>
        <v>8</v>
      </c>
      <c r="K44" s="3">
        <f>IF(Afektif!J47="","",Afektif!J47)</f>
        <v>6</v>
      </c>
      <c r="L44" s="3">
        <f>IF(Afektif!K47="","",Afektif!K47)</f>
        <v>7</v>
      </c>
      <c r="M44" s="3">
        <f>IF(Afektif!L47="","",Afektif!L47)</f>
        <v>7</v>
      </c>
      <c r="N44" s="3">
        <f>IF(Afektif!M47="","",Afektif!M47)</f>
        <v>0</v>
      </c>
      <c r="O44" s="3">
        <f>IF(Afektif!N47="","",Afektif!N47)</f>
        <v>0</v>
      </c>
      <c r="P44" s="18">
        <f>IF(Afektif!O47="","",Afektif!O47)</f>
        <v>88.84375</v>
      </c>
    </row>
    <row r="45" spans="1:16" ht="15" customHeight="1" x14ac:dyDescent="0.2">
      <c r="A45" s="3" t="str">
        <f>Afektif!A48</f>
        <v>P22</v>
      </c>
      <c r="B45" s="3">
        <f>Afektif!C48</f>
        <v>2</v>
      </c>
      <c r="C45" s="3" t="str">
        <f>Afektif!D48</f>
        <v>381</v>
      </c>
      <c r="D45" s="3" t="str">
        <f>IF(C45=Setup!$B$5,Setup!$C$5,Setup!$C$6)</f>
        <v>Robusta Temanggung (dark roast)</v>
      </c>
      <c r="E45" s="3">
        <f>IF(COUNTA(Afektif!E48:N48)&gt;0,1,0)</f>
        <v>1</v>
      </c>
      <c r="F45" s="3">
        <f>IF(Afektif!E48="","",Afektif!E48)</f>
        <v>6</v>
      </c>
      <c r="G45" s="3">
        <f>IF(Afektif!F48="","",Afektif!F48)</f>
        <v>3</v>
      </c>
      <c r="H45" s="3">
        <f>IF(Afektif!G48="","",Afektif!G48)</f>
        <v>4</v>
      </c>
      <c r="I45" s="3">
        <f>IF(Afektif!H48="","",Afektif!H48)</f>
        <v>4</v>
      </c>
      <c r="J45" s="3">
        <f>IF(Afektif!I48="","",Afektif!I48)</f>
        <v>7</v>
      </c>
      <c r="K45" s="3">
        <f>IF(Afektif!J48="","",Afektif!J48)</f>
        <v>4</v>
      </c>
      <c r="L45" s="3">
        <f>IF(Afektif!K48="","",Afektif!K48)</f>
        <v>7</v>
      </c>
      <c r="M45" s="3">
        <f>IF(Afektif!L48="","",Afektif!L48)</f>
        <v>6</v>
      </c>
      <c r="N45" s="3">
        <f>IF(Afektif!M48="","",Afektif!M48)</f>
        <v>0</v>
      </c>
      <c r="O45" s="3">
        <f>IF(Afektif!N48="","",Afektif!N48)</f>
        <v>0</v>
      </c>
      <c r="P45" s="18">
        <f>IF(Afektif!O48="","",Afektif!O48)</f>
        <v>79.65625</v>
      </c>
    </row>
    <row r="46" spans="1:16" ht="15" customHeight="1" x14ac:dyDescent="0.2">
      <c r="A46" s="3" t="str">
        <f>Afektif!A49</f>
        <v>P23</v>
      </c>
      <c r="B46" s="3">
        <f>Afektif!C49</f>
        <v>1</v>
      </c>
      <c r="C46" s="3" t="str">
        <f>Afektif!D49</f>
        <v>527</v>
      </c>
      <c r="D46" s="3" t="str">
        <f>IF(C46=Setup!$B$5,Setup!$C$5,Setup!$C$6)</f>
        <v>Ethiopia natural (light roast)</v>
      </c>
      <c r="E46" s="3">
        <f>IF(COUNTA(Afektif!E49:N49)&gt;0,1,0)</f>
        <v>1</v>
      </c>
      <c r="F46" s="3">
        <f>IF(Afektif!E49="","",Afektif!E49)</f>
        <v>5</v>
      </c>
      <c r="G46" s="3">
        <f>IF(Afektif!F49="","",Afektif!F49)</f>
        <v>9</v>
      </c>
      <c r="H46" s="3">
        <f>IF(Afektif!G49="","",Afektif!G49)</f>
        <v>8</v>
      </c>
      <c r="I46" s="3">
        <f>IF(Afektif!H49="","",Afektif!H49)</f>
        <v>9</v>
      </c>
      <c r="J46" s="3">
        <f>IF(Afektif!I49="","",Afektif!I49)</f>
        <v>7</v>
      </c>
      <c r="K46" s="3">
        <f>IF(Afektif!J49="","",Afektif!J49)</f>
        <v>9</v>
      </c>
      <c r="L46" s="3">
        <f>IF(Afektif!K49="","",Afektif!K49)</f>
        <v>9</v>
      </c>
      <c r="M46" s="3">
        <f>IF(Afektif!L49="","",Afektif!L49)</f>
        <v>9</v>
      </c>
      <c r="N46" s="3">
        <f>IF(Afektif!M49="","",Afektif!M49)</f>
        <v>0</v>
      </c>
      <c r="O46" s="3">
        <f>IF(Afektif!N49="","",Afektif!N49)</f>
        <v>0</v>
      </c>
      <c r="P46" s="18">
        <f>IF(Afektif!O49="","",Afektif!O49)</f>
        <v>95.40625</v>
      </c>
    </row>
    <row r="47" spans="1:16" ht="15" customHeight="1" x14ac:dyDescent="0.2">
      <c r="A47" s="3" t="str">
        <f>Afektif!A50</f>
        <v>P23</v>
      </c>
      <c r="B47" s="3">
        <f>Afektif!C50</f>
        <v>2</v>
      </c>
      <c r="C47" s="3" t="str">
        <f>Afektif!D50</f>
        <v>381</v>
      </c>
      <c r="D47" s="3" t="str">
        <f>IF(C47=Setup!$B$5,Setup!$C$5,Setup!$C$6)</f>
        <v>Robusta Temanggung (dark roast)</v>
      </c>
      <c r="E47" s="3">
        <f>IF(COUNTA(Afektif!E50:N50)&gt;0,1,0)</f>
        <v>1</v>
      </c>
      <c r="F47" s="3">
        <f>IF(Afektif!E50="","",Afektif!E50)</f>
        <v>6</v>
      </c>
      <c r="G47" s="3">
        <f>IF(Afektif!F50="","",Afektif!F50)</f>
        <v>7</v>
      </c>
      <c r="H47" s="3">
        <f>IF(Afektif!G50="","",Afektif!G50)</f>
        <v>6</v>
      </c>
      <c r="I47" s="3">
        <f>IF(Afektif!H50="","",Afektif!H50)</f>
        <v>5</v>
      </c>
      <c r="J47" s="3">
        <f>IF(Afektif!I50="","",Afektif!I50)</f>
        <v>6</v>
      </c>
      <c r="K47" s="3">
        <f>IF(Afektif!J50="","",Afektif!J50)</f>
        <v>6</v>
      </c>
      <c r="L47" s="3">
        <f>IF(Afektif!K50="","",Afektif!K50)</f>
        <v>6</v>
      </c>
      <c r="M47" s="3">
        <f>IF(Afektif!L50="","",Afektif!L50)</f>
        <v>5</v>
      </c>
      <c r="N47" s="3">
        <f>IF(Afektif!M50="","",Afektif!M50)</f>
        <v>0</v>
      </c>
      <c r="O47" s="3">
        <f>IF(Afektif!N50="","",Afektif!N50)</f>
        <v>0</v>
      </c>
      <c r="P47" s="18">
        <f>IF(Afektif!O50="","",Afektif!O50)</f>
        <v>83.59375</v>
      </c>
    </row>
    <row r="48" spans="1:16" ht="15" customHeight="1" x14ac:dyDescent="0.2">
      <c r="A48" s="3" t="str">
        <f>Afektif!A51</f>
        <v>P24</v>
      </c>
      <c r="B48" s="3">
        <f>Afektif!C51</f>
        <v>1</v>
      </c>
      <c r="C48" s="3" t="str">
        <f>Afektif!D51</f>
        <v>527</v>
      </c>
      <c r="D48" s="3" t="str">
        <f>IF(C48=Setup!$B$5,Setup!$C$5,Setup!$C$6)</f>
        <v>Ethiopia natural (light roast)</v>
      </c>
      <c r="E48" s="3">
        <f>IF(COUNTA(Afektif!E51:N51)&gt;0,1,0)</f>
        <v>1</v>
      </c>
      <c r="F48" s="3">
        <f>IF(Afektif!E51="","",Afektif!E51)</f>
        <v>8</v>
      </c>
      <c r="G48" s="3">
        <f>IF(Afektif!F51="","",Afektif!F51)</f>
        <v>7</v>
      </c>
      <c r="H48" s="3">
        <f>IF(Afektif!G51="","",Afektif!G51)</f>
        <v>7</v>
      </c>
      <c r="I48" s="3">
        <f>IF(Afektif!H51="","",Afektif!H51)</f>
        <v>9</v>
      </c>
      <c r="J48" s="3">
        <f>IF(Afektif!I51="","",Afektif!I51)</f>
        <v>8</v>
      </c>
      <c r="K48" s="3">
        <f>IF(Afektif!J51="","",Afektif!J51)</f>
        <v>8</v>
      </c>
      <c r="L48" s="3">
        <f>IF(Afektif!K51="","",Afektif!K51)</f>
        <v>7</v>
      </c>
      <c r="M48" s="3">
        <f>IF(Afektif!L51="","",Afektif!L51)</f>
        <v>9</v>
      </c>
      <c r="N48" s="3">
        <f>IF(Afektif!M51="","",Afektif!M51)</f>
        <v>0</v>
      </c>
      <c r="O48" s="3">
        <f>IF(Afektif!N51="","",Afektif!N51)</f>
        <v>0</v>
      </c>
      <c r="P48" s="18">
        <f>IF(Afektif!O51="","",Afektif!O51)</f>
        <v>94.09375</v>
      </c>
    </row>
    <row r="49" spans="1:16" ht="15" customHeight="1" x14ac:dyDescent="0.2">
      <c r="A49" s="3" t="str">
        <f>Afektif!A52</f>
        <v>P24</v>
      </c>
      <c r="B49" s="3">
        <f>Afektif!C52</f>
        <v>2</v>
      </c>
      <c r="C49" s="3" t="str">
        <f>Afektif!D52</f>
        <v>381</v>
      </c>
      <c r="D49" s="3" t="str">
        <f>IF(C49=Setup!$B$5,Setup!$C$5,Setup!$C$6)</f>
        <v>Robusta Temanggung (dark roast)</v>
      </c>
      <c r="E49" s="3">
        <f>IF(COUNTA(Afektif!E52:N52)&gt;0,1,0)</f>
        <v>1</v>
      </c>
      <c r="F49" s="3">
        <f>IF(Afektif!E52="","",Afektif!E52)</f>
        <v>6</v>
      </c>
      <c r="G49" s="3">
        <f>IF(Afektif!F52="","",Afektif!F52)</f>
        <v>6</v>
      </c>
      <c r="H49" s="3">
        <f>IF(Afektif!G52="","",Afektif!G52)</f>
        <v>5</v>
      </c>
      <c r="I49" s="3">
        <f>IF(Afektif!H52="","",Afektif!H52)</f>
        <v>4</v>
      </c>
      <c r="J49" s="3">
        <f>IF(Afektif!I52="","",Afektif!I52)</f>
        <v>6</v>
      </c>
      <c r="K49" s="3">
        <f>IF(Afektif!J52="","",Afektif!J52)</f>
        <v>5</v>
      </c>
      <c r="L49" s="3">
        <f>IF(Afektif!K52="","",Afektif!K52)</f>
        <v>6</v>
      </c>
      <c r="M49" s="3">
        <f>IF(Afektif!L52="","",Afektif!L52)</f>
        <v>6</v>
      </c>
      <c r="N49" s="3">
        <f>IF(Afektif!M52="","",Afektif!M52)</f>
        <v>0</v>
      </c>
      <c r="O49" s="3">
        <f>IF(Afektif!N52="","",Afektif!N52)</f>
        <v>0</v>
      </c>
      <c r="P49" s="18">
        <f>IF(Afektif!O52="","",Afektif!O52)</f>
        <v>81.625</v>
      </c>
    </row>
    <row r="50" spans="1:16" ht="15" customHeight="1" x14ac:dyDescent="0.2">
      <c r="A50" s="3" t="str">
        <f>Afektif!A53</f>
        <v>P25</v>
      </c>
      <c r="B50" s="3">
        <f>Afektif!C53</f>
        <v>1</v>
      </c>
      <c r="C50" s="3" t="str">
        <f>Afektif!D53</f>
        <v>527</v>
      </c>
      <c r="D50" s="3" t="str">
        <f>IF(C50=Setup!$B$5,Setup!$C$5,Setup!$C$6)</f>
        <v>Ethiopia natural (light roast)</v>
      </c>
      <c r="E50" s="3">
        <f>IF(COUNTA(Afektif!E53:N53)&gt;0,1,0)</f>
        <v>1</v>
      </c>
      <c r="F50" s="3">
        <f>IF(Afektif!E53="","",Afektif!E53)</f>
        <v>7</v>
      </c>
      <c r="G50" s="3">
        <f>IF(Afektif!F53="","",Afektif!F53)</f>
        <v>7</v>
      </c>
      <c r="H50" s="3">
        <f>IF(Afektif!G53="","",Afektif!G53)</f>
        <v>7</v>
      </c>
      <c r="I50" s="3">
        <f>IF(Afektif!H53="","",Afektif!H53)</f>
        <v>9</v>
      </c>
      <c r="J50" s="3">
        <f>IF(Afektif!I53="","",Afektif!I53)</f>
        <v>8</v>
      </c>
      <c r="K50" s="3">
        <f>IF(Afektif!J53="","",Afektif!J53)</f>
        <v>8</v>
      </c>
      <c r="L50" s="3">
        <f>IF(Afektif!K53="","",Afektif!K53)</f>
        <v>8</v>
      </c>
      <c r="M50" s="3">
        <f>IF(Afektif!L53="","",Afektif!L53)</f>
        <v>6</v>
      </c>
      <c r="N50" s="3">
        <f>IF(Afektif!M53="","",Afektif!M53)</f>
        <v>0</v>
      </c>
      <c r="O50" s="3">
        <f>IF(Afektif!N53="","",Afektif!N53)</f>
        <v>0</v>
      </c>
      <c r="P50" s="18">
        <f>IF(Afektif!O53="","",Afektif!O53)</f>
        <v>92.125</v>
      </c>
    </row>
    <row r="51" spans="1:16" ht="15" customHeight="1" x14ac:dyDescent="0.2">
      <c r="A51" s="3" t="str">
        <f>Afektif!A54</f>
        <v>P25</v>
      </c>
      <c r="B51" s="3">
        <f>Afektif!C54</f>
        <v>2</v>
      </c>
      <c r="C51" s="3" t="str">
        <f>Afektif!D54</f>
        <v>381</v>
      </c>
      <c r="D51" s="3" t="str">
        <f>IF(C51=Setup!$B$5,Setup!$C$5,Setup!$C$6)</f>
        <v>Robusta Temanggung (dark roast)</v>
      </c>
      <c r="E51" s="3">
        <f>IF(COUNTA(Afektif!E54:N54)&gt;0,1,0)</f>
        <v>1</v>
      </c>
      <c r="F51" s="3">
        <f>IF(Afektif!E54="","",Afektif!E54)</f>
        <v>6</v>
      </c>
      <c r="G51" s="3">
        <f>IF(Afektif!F54="","",Afektif!F54)</f>
        <v>5</v>
      </c>
      <c r="H51" s="3">
        <f>IF(Afektif!G54="","",Afektif!G54)</f>
        <v>6</v>
      </c>
      <c r="I51" s="3">
        <f>IF(Afektif!H54="","",Afektif!H54)</f>
        <v>6</v>
      </c>
      <c r="J51" s="3">
        <f>IF(Afektif!I54="","",Afektif!I54)</f>
        <v>6</v>
      </c>
      <c r="K51" s="3">
        <f>IF(Afektif!J54="","",Afektif!J54)</f>
        <v>6</v>
      </c>
      <c r="L51" s="3">
        <f>IF(Afektif!K54="","",Afektif!K54)</f>
        <v>6</v>
      </c>
      <c r="M51" s="3">
        <f>IF(Afektif!L54="","",Afektif!L54)</f>
        <v>5</v>
      </c>
      <c r="N51" s="3">
        <f>IF(Afektif!M54="","",Afektif!M54)</f>
        <v>0</v>
      </c>
      <c r="O51" s="3">
        <f>IF(Afektif!N54="","",Afektif!N54)</f>
        <v>0</v>
      </c>
      <c r="P51" s="18">
        <f>IF(Afektif!O54="","",Afektif!O54)</f>
        <v>82.9375</v>
      </c>
    </row>
    <row r="52" spans="1:16" ht="15" customHeight="1" x14ac:dyDescent="0.2">
      <c r="A52" s="3" t="str">
        <f>Afektif!A55</f>
        <v>P26</v>
      </c>
      <c r="B52" s="3">
        <f>Afektif!C55</f>
        <v>1</v>
      </c>
      <c r="C52" s="3" t="str">
        <f>Afektif!D55</f>
        <v>527</v>
      </c>
      <c r="D52" s="3" t="str">
        <f>IF(C52=Setup!$B$5,Setup!$C$5,Setup!$C$6)</f>
        <v>Ethiopia natural (light roast)</v>
      </c>
      <c r="E52" s="3">
        <f>IF(COUNTA(Afektif!E55:N55)&gt;0,1,0)</f>
        <v>1</v>
      </c>
      <c r="F52" s="3">
        <f>IF(Afektif!E55="","",Afektif!E55)</f>
        <v>9</v>
      </c>
      <c r="G52" s="3">
        <f>IF(Afektif!F55="","",Afektif!F55)</f>
        <v>6</v>
      </c>
      <c r="H52" s="3">
        <f>IF(Afektif!G55="","",Afektif!G55)</f>
        <v>6</v>
      </c>
      <c r="I52" s="3">
        <f>IF(Afektif!H55="","",Afektif!H55)</f>
        <v>7</v>
      </c>
      <c r="J52" s="3">
        <f>IF(Afektif!I55="","",Afektif!I55)</f>
        <v>8</v>
      </c>
      <c r="K52" s="3">
        <f>IF(Afektif!J55="","",Afektif!J55)</f>
        <v>7</v>
      </c>
      <c r="L52" s="3">
        <f>IF(Afektif!K55="","",Afektif!K55)</f>
        <v>8</v>
      </c>
      <c r="M52" s="3">
        <f>IF(Afektif!L55="","",Afektif!L55)</f>
        <v>8</v>
      </c>
      <c r="N52" s="3">
        <f>IF(Afektif!M55="","",Afektif!M55)</f>
        <v>0</v>
      </c>
      <c r="O52" s="3">
        <f>IF(Afektif!N55="","",Afektif!N55)</f>
        <v>0</v>
      </c>
      <c r="P52" s="18">
        <f>IF(Afektif!O55="","",Afektif!O55)</f>
        <v>91.46875</v>
      </c>
    </row>
    <row r="53" spans="1:16" ht="15" customHeight="1" x14ac:dyDescent="0.2">
      <c r="A53" s="3" t="str">
        <f>Afektif!A56</f>
        <v>P26</v>
      </c>
      <c r="B53" s="3">
        <f>Afektif!C56</f>
        <v>2</v>
      </c>
      <c r="C53" s="3" t="str">
        <f>Afektif!D56</f>
        <v>381</v>
      </c>
      <c r="D53" s="3" t="str">
        <f>IF(C53=Setup!$B$5,Setup!$C$5,Setup!$C$6)</f>
        <v>Robusta Temanggung (dark roast)</v>
      </c>
      <c r="E53" s="3">
        <f>IF(COUNTA(Afektif!E56:N56)&gt;0,1,0)</f>
        <v>1</v>
      </c>
      <c r="F53" s="3">
        <f>IF(Afektif!E56="","",Afektif!E56)</f>
        <v>6</v>
      </c>
      <c r="G53" s="3">
        <f>IF(Afektif!F56="","",Afektif!F56)</f>
        <v>7</v>
      </c>
      <c r="H53" s="3">
        <f>IF(Afektif!G56="","",Afektif!G56)</f>
        <v>5</v>
      </c>
      <c r="I53" s="3">
        <f>IF(Afektif!H56="","",Afektif!H56)</f>
        <v>5</v>
      </c>
      <c r="J53" s="3">
        <f>IF(Afektif!I56="","",Afektif!I56)</f>
        <v>7</v>
      </c>
      <c r="K53" s="3">
        <f>IF(Afektif!J56="","",Afektif!J56)</f>
        <v>6</v>
      </c>
      <c r="L53" s="3">
        <f>IF(Afektif!K56="","",Afektif!K56)</f>
        <v>6</v>
      </c>
      <c r="M53" s="3">
        <f>IF(Afektif!L56="","",Afektif!L56)</f>
        <v>5</v>
      </c>
      <c r="N53" s="3">
        <f>IF(Afektif!M56="","",Afektif!M56)</f>
        <v>0</v>
      </c>
      <c r="O53" s="3">
        <f>IF(Afektif!N56="","",Afektif!N56)</f>
        <v>0</v>
      </c>
      <c r="P53" s="18">
        <f>IF(Afektif!O56="","",Afektif!O56)</f>
        <v>83.59375</v>
      </c>
    </row>
    <row r="54" spans="1:16" ht="15" customHeight="1" x14ac:dyDescent="0.2">
      <c r="A54" s="3" t="str">
        <f>Afektif!A57</f>
        <v>P27</v>
      </c>
      <c r="B54" s="3">
        <f>Afektif!C57</f>
        <v>1</v>
      </c>
      <c r="C54" s="3" t="str">
        <f>Afektif!D57</f>
        <v>527</v>
      </c>
      <c r="D54" s="3" t="str">
        <f>IF(C54=Setup!$B$5,Setup!$C$5,Setup!$C$6)</f>
        <v>Ethiopia natural (light roast)</v>
      </c>
      <c r="E54" s="3">
        <f>IF(COUNTA(Afektif!E57:N57)&gt;0,1,0)</f>
        <v>1</v>
      </c>
      <c r="F54" s="3">
        <f>IF(Afektif!E57="","",Afektif!E57)</f>
        <v>7</v>
      </c>
      <c r="G54" s="3">
        <f>IF(Afektif!F57="","",Afektif!F57)</f>
        <v>8</v>
      </c>
      <c r="H54" s="3">
        <f>IF(Afektif!G57="","",Afektif!G57)</f>
        <v>9</v>
      </c>
      <c r="I54" s="3">
        <f>IF(Afektif!H57="","",Afektif!H57)</f>
        <v>8</v>
      </c>
      <c r="J54" s="3">
        <f>IF(Afektif!I57="","",Afektif!I57)</f>
        <v>7</v>
      </c>
      <c r="K54" s="3">
        <f>IF(Afektif!J57="","",Afektif!J57)</f>
        <v>7</v>
      </c>
      <c r="L54" s="3">
        <f>IF(Afektif!K57="","",Afektif!K57)</f>
        <v>7</v>
      </c>
      <c r="M54" s="3">
        <f>IF(Afektif!L57="","",Afektif!L57)</f>
        <v>5</v>
      </c>
      <c r="N54" s="3">
        <f>IF(Afektif!M57="","",Afektif!M57)</f>
        <v>0</v>
      </c>
      <c r="O54" s="3">
        <f>IF(Afektif!N57="","",Afektif!N57)</f>
        <v>0</v>
      </c>
      <c r="P54" s="18">
        <f>IF(Afektif!O57="","",Afektif!O57)</f>
        <v>90.8125</v>
      </c>
    </row>
    <row r="55" spans="1:16" ht="15" customHeight="1" x14ac:dyDescent="0.2">
      <c r="A55" s="3" t="str">
        <f>Afektif!A58</f>
        <v>P27</v>
      </c>
      <c r="B55" s="3">
        <f>Afektif!C58</f>
        <v>2</v>
      </c>
      <c r="C55" s="3" t="str">
        <f>Afektif!D58</f>
        <v>381</v>
      </c>
      <c r="D55" s="3" t="str">
        <f>IF(C55=Setup!$B$5,Setup!$C$5,Setup!$C$6)</f>
        <v>Robusta Temanggung (dark roast)</v>
      </c>
      <c r="E55" s="3">
        <f>IF(COUNTA(Afektif!E58:N58)&gt;0,1,0)</f>
        <v>1</v>
      </c>
      <c r="F55" s="3">
        <f>IF(Afektif!E58="","",Afektif!E58)</f>
        <v>5</v>
      </c>
      <c r="G55" s="3">
        <f>IF(Afektif!F58="","",Afektif!F58)</f>
        <v>4</v>
      </c>
      <c r="H55" s="3">
        <f>IF(Afektif!G58="","",Afektif!G58)</f>
        <v>4</v>
      </c>
      <c r="I55" s="3">
        <f>IF(Afektif!H58="","",Afektif!H58)</f>
        <v>5</v>
      </c>
      <c r="J55" s="3">
        <f>IF(Afektif!I58="","",Afektif!I58)</f>
        <v>4</v>
      </c>
      <c r="K55" s="3">
        <f>IF(Afektif!J58="","",Afektif!J58)</f>
        <v>7</v>
      </c>
      <c r="L55" s="3">
        <f>IF(Afektif!K58="","",Afektif!K58)</f>
        <v>5</v>
      </c>
      <c r="M55" s="3">
        <f>IF(Afektif!L58="","",Afektif!L58)</f>
        <v>5</v>
      </c>
      <c r="N55" s="3">
        <f>IF(Afektif!M58="","",Afektif!M58)</f>
        <v>0</v>
      </c>
      <c r="O55" s="3">
        <f>IF(Afektif!N58="","",Afektif!N58)</f>
        <v>0</v>
      </c>
      <c r="P55" s="18">
        <f>IF(Afektif!O58="","",Afektif!O58)</f>
        <v>78.34375</v>
      </c>
    </row>
    <row r="56" spans="1:16" ht="15" customHeight="1" x14ac:dyDescent="0.2">
      <c r="A56" s="3" t="str">
        <f>Afektif!A59</f>
        <v>P28</v>
      </c>
      <c r="B56" s="3">
        <f>Afektif!C59</f>
        <v>1</v>
      </c>
      <c r="C56" s="3" t="str">
        <f>Afektif!D59</f>
        <v>527</v>
      </c>
      <c r="D56" s="3" t="str">
        <f>IF(C56=Setup!$B$5,Setup!$C$5,Setup!$C$6)</f>
        <v>Ethiopia natural (light roast)</v>
      </c>
      <c r="E56" s="3">
        <f>IF(COUNTA(Afektif!E59:N59)&gt;0,1,0)</f>
        <v>1</v>
      </c>
      <c r="F56" s="3">
        <f>IF(Afektif!E59="","",Afektif!E59)</f>
        <v>9</v>
      </c>
      <c r="G56" s="3">
        <f>IF(Afektif!F59="","",Afektif!F59)</f>
        <v>8</v>
      </c>
      <c r="H56" s="3">
        <f>IF(Afektif!G59="","",Afektif!G59)</f>
        <v>8</v>
      </c>
      <c r="I56" s="3">
        <f>IF(Afektif!H59="","",Afektif!H59)</f>
        <v>8</v>
      </c>
      <c r="J56" s="3">
        <f>IF(Afektif!I59="","",Afektif!I59)</f>
        <v>8</v>
      </c>
      <c r="K56" s="3">
        <f>IF(Afektif!J59="","",Afektif!J59)</f>
        <v>8</v>
      </c>
      <c r="L56" s="3">
        <f>IF(Afektif!K59="","",Afektif!K59)</f>
        <v>6</v>
      </c>
      <c r="M56" s="3">
        <f>IF(Afektif!L59="","",Afektif!L59)</f>
        <v>7</v>
      </c>
      <c r="N56" s="3">
        <f>IF(Afektif!M59="","",Afektif!M59)</f>
        <v>0</v>
      </c>
      <c r="O56" s="3">
        <f>IF(Afektif!N59="","",Afektif!N59)</f>
        <v>0</v>
      </c>
      <c r="P56" s="18">
        <f>IF(Afektif!O59="","",Afektif!O59)</f>
        <v>93.4375</v>
      </c>
    </row>
    <row r="57" spans="1:16" ht="15" customHeight="1" x14ac:dyDescent="0.2">
      <c r="A57" s="3" t="str">
        <f>Afektif!A60</f>
        <v>P28</v>
      </c>
      <c r="B57" s="3">
        <f>Afektif!C60</f>
        <v>2</v>
      </c>
      <c r="C57" s="3" t="str">
        <f>Afektif!D60</f>
        <v>381</v>
      </c>
      <c r="D57" s="3" t="str">
        <f>IF(C57=Setup!$B$5,Setup!$C$5,Setup!$C$6)</f>
        <v>Robusta Temanggung (dark roast)</v>
      </c>
      <c r="E57" s="3">
        <f>IF(COUNTA(Afektif!E60:N60)&gt;0,1,0)</f>
        <v>1</v>
      </c>
      <c r="F57" s="3">
        <f>IF(Afektif!E60="","",Afektif!E60)</f>
        <v>7</v>
      </c>
      <c r="G57" s="3">
        <f>IF(Afektif!F60="","",Afektif!F60)</f>
        <v>5</v>
      </c>
      <c r="H57" s="3">
        <f>IF(Afektif!G60="","",Afektif!G60)</f>
        <v>8</v>
      </c>
      <c r="I57" s="3">
        <f>IF(Afektif!H60="","",Afektif!H60)</f>
        <v>5</v>
      </c>
      <c r="J57" s="3">
        <f>IF(Afektif!I60="","",Afektif!I60)</f>
        <v>4</v>
      </c>
      <c r="K57" s="3">
        <f>IF(Afektif!J60="","",Afektif!J60)</f>
        <v>4</v>
      </c>
      <c r="L57" s="3">
        <f>IF(Afektif!K60="","",Afektif!K60)</f>
        <v>7</v>
      </c>
      <c r="M57" s="3">
        <f>IF(Afektif!L60="","",Afektif!L60)</f>
        <v>6</v>
      </c>
      <c r="N57" s="3">
        <f>IF(Afektif!M60="","",Afektif!M60)</f>
        <v>0</v>
      </c>
      <c r="O57" s="3">
        <f>IF(Afektif!N60="","",Afektif!N60)</f>
        <v>0</v>
      </c>
      <c r="P57" s="18">
        <f>IF(Afektif!O60="","",Afektif!O60)</f>
        <v>82.9375</v>
      </c>
    </row>
    <row r="58" spans="1:16" ht="15" customHeight="1" x14ac:dyDescent="0.2">
      <c r="A58" s="3" t="str">
        <f>Afektif!A61</f>
        <v>P29</v>
      </c>
      <c r="B58" s="3">
        <f>Afektif!C61</f>
        <v>1</v>
      </c>
      <c r="C58" s="3" t="str">
        <f>Afektif!D61</f>
        <v>527</v>
      </c>
      <c r="D58" s="3" t="str">
        <f>IF(C58=Setup!$B$5,Setup!$C$5,Setup!$C$6)</f>
        <v>Ethiopia natural (light roast)</v>
      </c>
      <c r="E58" s="3">
        <f>IF(COUNTA(Afektif!E61:N61)&gt;0,1,0)</f>
        <v>1</v>
      </c>
      <c r="F58" s="3">
        <f>IF(Afektif!E61="","",Afektif!E61)</f>
        <v>9</v>
      </c>
      <c r="G58" s="3">
        <f>IF(Afektif!F61="","",Afektif!F61)</f>
        <v>7</v>
      </c>
      <c r="H58" s="3">
        <f>IF(Afektif!G61="","",Afektif!G61)</f>
        <v>9</v>
      </c>
      <c r="I58" s="3">
        <f>IF(Afektif!H61="","",Afektif!H61)</f>
        <v>8</v>
      </c>
      <c r="J58" s="3">
        <f>IF(Afektif!I61="","",Afektif!I61)</f>
        <v>8</v>
      </c>
      <c r="K58" s="3">
        <f>IF(Afektif!J61="","",Afektif!J61)</f>
        <v>8</v>
      </c>
      <c r="L58" s="3">
        <f>IF(Afektif!K61="","",Afektif!K61)</f>
        <v>7</v>
      </c>
      <c r="M58" s="3">
        <f>IF(Afektif!L61="","",Afektif!L61)</f>
        <v>7</v>
      </c>
      <c r="N58" s="3">
        <f>IF(Afektif!M61="","",Afektif!M61)</f>
        <v>1</v>
      </c>
      <c r="O58" s="3">
        <f>IF(Afektif!N61="","",Afektif!N61)</f>
        <v>0</v>
      </c>
      <c r="P58" s="18">
        <f>IF(Afektif!O61="","",Afektif!O61)</f>
        <v>92.09375</v>
      </c>
    </row>
    <row r="59" spans="1:16" ht="15" customHeight="1" x14ac:dyDescent="0.2">
      <c r="A59" s="3" t="str">
        <f>Afektif!A62</f>
        <v>P29</v>
      </c>
      <c r="B59" s="3">
        <f>Afektif!C62</f>
        <v>2</v>
      </c>
      <c r="C59" s="3" t="str">
        <f>Afektif!D62</f>
        <v>381</v>
      </c>
      <c r="D59" s="3" t="str">
        <f>IF(C59=Setup!$B$5,Setup!$C$5,Setup!$C$6)</f>
        <v>Robusta Temanggung (dark roast)</v>
      </c>
      <c r="E59" s="3">
        <f>IF(COUNTA(Afektif!E62:N62)&gt;0,1,0)</f>
        <v>1</v>
      </c>
      <c r="F59" s="3">
        <f>IF(Afektif!E62="","",Afektif!E62)</f>
        <v>6</v>
      </c>
      <c r="G59" s="3">
        <f>IF(Afektif!F62="","",Afektif!F62)</f>
        <v>5</v>
      </c>
      <c r="H59" s="3">
        <f>IF(Afektif!G62="","",Afektif!G62)</f>
        <v>5</v>
      </c>
      <c r="I59" s="3">
        <f>IF(Afektif!H62="","",Afektif!H62)</f>
        <v>5</v>
      </c>
      <c r="J59" s="3">
        <f>IF(Afektif!I62="","",Afektif!I62)</f>
        <v>6</v>
      </c>
      <c r="K59" s="3">
        <f>IF(Afektif!J62="","",Afektif!J62)</f>
        <v>7</v>
      </c>
      <c r="L59" s="3">
        <f>IF(Afektif!K62="","",Afektif!K62)</f>
        <v>5</v>
      </c>
      <c r="M59" s="3">
        <f>IF(Afektif!L62="","",Afektif!L62)</f>
        <v>6</v>
      </c>
      <c r="N59" s="3">
        <f>IF(Afektif!M62="","",Afektif!M62)</f>
        <v>0</v>
      </c>
      <c r="O59" s="3">
        <f>IF(Afektif!N62="","",Afektif!N62)</f>
        <v>0</v>
      </c>
      <c r="P59" s="18">
        <f>IF(Afektif!O62="","",Afektif!O62)</f>
        <v>82.28125</v>
      </c>
    </row>
    <row r="60" spans="1:16" ht="15" customHeight="1" x14ac:dyDescent="0.2">
      <c r="A60" s="3" t="str">
        <f>Afektif!A63</f>
        <v>P30</v>
      </c>
      <c r="B60" s="3">
        <f>Afektif!C63</f>
        <v>1</v>
      </c>
      <c r="C60" s="3" t="str">
        <f>Afektif!D63</f>
        <v>527</v>
      </c>
      <c r="D60" s="3" t="str">
        <f>IF(C60=Setup!$B$5,Setup!$C$5,Setup!$C$6)</f>
        <v>Ethiopia natural (light roast)</v>
      </c>
      <c r="E60" s="3">
        <f>IF(COUNTA(Afektif!E63:N63)&gt;0,1,0)</f>
        <v>1</v>
      </c>
      <c r="F60" s="3">
        <f>IF(Afektif!E63="","",Afektif!E63)</f>
        <v>9</v>
      </c>
      <c r="G60" s="3">
        <f>IF(Afektif!F63="","",Afektif!F63)</f>
        <v>7</v>
      </c>
      <c r="H60" s="3">
        <f>IF(Afektif!G63="","",Afektif!G63)</f>
        <v>4</v>
      </c>
      <c r="I60" s="3">
        <f>IF(Afektif!H63="","",Afektif!H63)</f>
        <v>5</v>
      </c>
      <c r="J60" s="3">
        <f>IF(Afektif!I63="","",Afektif!I63)</f>
        <v>8</v>
      </c>
      <c r="K60" s="3">
        <f>IF(Afektif!J63="","",Afektif!J63)</f>
        <v>9</v>
      </c>
      <c r="L60" s="3">
        <f>IF(Afektif!K63="","",Afektif!K63)</f>
        <v>7</v>
      </c>
      <c r="M60" s="3">
        <f>IF(Afektif!L63="","",Afektif!L63)</f>
        <v>7</v>
      </c>
      <c r="N60" s="3">
        <f>IF(Afektif!M63="","",Afektif!M63)</f>
        <v>0</v>
      </c>
      <c r="O60" s="3">
        <f>IF(Afektif!N63="","",Afektif!N63)</f>
        <v>0</v>
      </c>
      <c r="P60" s="18">
        <f>IF(Afektif!O63="","",Afektif!O63)</f>
        <v>89.5</v>
      </c>
    </row>
    <row r="61" spans="1:16" ht="15" customHeight="1" x14ac:dyDescent="0.2">
      <c r="A61" s="3" t="str">
        <f>Afektif!A64</f>
        <v>P30</v>
      </c>
      <c r="B61" s="3">
        <f>Afektif!C64</f>
        <v>2</v>
      </c>
      <c r="C61" s="3" t="str">
        <f>Afektif!D64</f>
        <v>381</v>
      </c>
      <c r="D61" s="3" t="str">
        <f>IF(C61=Setup!$B$5,Setup!$C$5,Setup!$C$6)</f>
        <v>Robusta Temanggung (dark roast)</v>
      </c>
      <c r="E61" s="3">
        <f>IF(COUNTA(Afektif!E64:N64)&gt;0,1,0)</f>
        <v>1</v>
      </c>
      <c r="F61" s="3">
        <f>IF(Afektif!E64="","",Afektif!E64)</f>
        <v>5</v>
      </c>
      <c r="G61" s="3">
        <f>IF(Afektif!F64="","",Afektif!F64)</f>
        <v>5</v>
      </c>
      <c r="H61" s="3">
        <f>IF(Afektif!G64="","",Afektif!G64)</f>
        <v>6</v>
      </c>
      <c r="I61" s="3">
        <f>IF(Afektif!H64="","",Afektif!H64)</f>
        <v>6</v>
      </c>
      <c r="J61" s="3">
        <f>IF(Afektif!I64="","",Afektif!I64)</f>
        <v>4</v>
      </c>
      <c r="K61" s="3">
        <f>IF(Afektif!J64="","",Afektif!J64)</f>
        <v>8</v>
      </c>
      <c r="L61" s="3">
        <f>IF(Afektif!K64="","",Afektif!K64)</f>
        <v>5</v>
      </c>
      <c r="M61" s="3">
        <f>IF(Afektif!L64="","",Afektif!L64)</f>
        <v>6</v>
      </c>
      <c r="N61" s="3">
        <f>IF(Afektif!M64="","",Afektif!M64)</f>
        <v>0</v>
      </c>
      <c r="O61" s="3">
        <f>IF(Afektif!N64="","",Afektif!N64)</f>
        <v>0</v>
      </c>
      <c r="P61" s="18">
        <f>IF(Afektif!O64="","",Afektif!O64)</f>
        <v>82.28125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3"/>
  <sheetViews>
    <sheetView zoomScaleNormal="100" workbookViewId="0">
      <selection activeCell="F31" sqref="F31"/>
    </sheetView>
  </sheetViews>
  <sheetFormatPr baseColWidth="10" defaultColWidth="8.6640625" defaultRowHeight="15" x14ac:dyDescent="0.2"/>
  <cols>
    <col min="1" max="1" width="20" customWidth="1"/>
    <col min="2" max="2" width="18" customWidth="1"/>
    <col min="3" max="3" width="20" customWidth="1"/>
    <col min="4" max="7" width="12" customWidth="1"/>
  </cols>
  <sheetData>
    <row r="1" spans="1:7" ht="15.75" customHeight="1" x14ac:dyDescent="0.2">
      <c r="A1" s="4" t="s">
        <v>156</v>
      </c>
    </row>
    <row r="2" spans="1:7" ht="15" customHeight="1" x14ac:dyDescent="0.2">
      <c r="A2" s="5" t="s">
        <v>157</v>
      </c>
    </row>
    <row r="3" spans="1:7" ht="15" customHeight="1" x14ac:dyDescent="0.2">
      <c r="D3" s="19" t="str">
        <f>Setup!B5</f>
        <v>527</v>
      </c>
      <c r="E3" s="19" t="str">
        <f>Setup!B6</f>
        <v>381</v>
      </c>
      <c r="F3" s="19" t="str">
        <f>Setup!B5</f>
        <v>527</v>
      </c>
      <c r="G3" s="19" t="str">
        <f>Setup!B6</f>
        <v>381</v>
      </c>
    </row>
    <row r="4" spans="1:7" ht="15" customHeight="1" x14ac:dyDescent="0.2">
      <c r="A4" s="1" t="s">
        <v>158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164</v>
      </c>
    </row>
    <row r="5" spans="1:7" ht="15" customHeight="1" x14ac:dyDescent="0.2">
      <c r="A5" s="6" t="s">
        <v>165</v>
      </c>
      <c r="D5" s="20">
        <f>COUNTIFS(R_CATA!$C$2:$C$61,Setup!$B$5,R_CATA!$E$2:$E$61,1)</f>
        <v>30</v>
      </c>
      <c r="E5" s="20">
        <f>COUNTIFS(R_CATA!$C$2:$C$61,Setup!$B$6,R_CATA!$E$2:$E$61,1)</f>
        <v>30</v>
      </c>
    </row>
    <row r="6" spans="1:7" ht="15" customHeight="1" x14ac:dyDescent="0.2">
      <c r="A6" s="21" t="s">
        <v>166</v>
      </c>
      <c r="B6" s="21" t="s">
        <v>105</v>
      </c>
      <c r="C6" s="21" t="s">
        <v>126</v>
      </c>
      <c r="D6" s="21">
        <f>COUNTIFS(R_CATA!$C$2:$C$61,Setup!$B$5,R_CATA!$E$2:$E$61,1,R_CATA!$F$2:$F$61,1)</f>
        <v>17</v>
      </c>
      <c r="E6" s="21">
        <f>COUNTIFS(R_CATA!$C$2:$C$61,Setup!$B$6,R_CATA!$E$2:$E$61,1,R_CATA!$F$2:$F$61,1)</f>
        <v>1</v>
      </c>
      <c r="F6" s="22">
        <f t="shared" ref="F6:F33" si="0">IF($D$5=0,0,D6/$D$5)</f>
        <v>0.56666666666666665</v>
      </c>
      <c r="G6" s="22">
        <f t="shared" ref="G6:G33" si="1">IF($E$5=0,0,E6/$E$5)</f>
        <v>3.3333333333333333E-2</v>
      </c>
    </row>
    <row r="7" spans="1:7" ht="15" customHeight="1" x14ac:dyDescent="0.2">
      <c r="A7" s="21" t="s">
        <v>166</v>
      </c>
      <c r="B7" s="21" t="s">
        <v>106</v>
      </c>
      <c r="C7" s="21" t="s">
        <v>127</v>
      </c>
      <c r="D7" s="21">
        <f>COUNTIFS(R_CATA!$C$2:$C$61,Setup!$B$5,R_CATA!$E$2:$E$61,1,R_CATA!$G$2:$G$61,1)</f>
        <v>27</v>
      </c>
      <c r="E7" s="21">
        <f>COUNTIFS(R_CATA!$C$2:$C$61,Setup!$B$6,R_CATA!$E$2:$E$61,1,R_CATA!$G$2:$G$61,1)</f>
        <v>3</v>
      </c>
      <c r="F7" s="22">
        <f t="shared" si="0"/>
        <v>0.9</v>
      </c>
      <c r="G7" s="22">
        <f t="shared" si="1"/>
        <v>0.1</v>
      </c>
    </row>
    <row r="8" spans="1:7" ht="15" customHeight="1" x14ac:dyDescent="0.2">
      <c r="A8" s="21" t="s">
        <v>166</v>
      </c>
      <c r="B8" s="21" t="s">
        <v>107</v>
      </c>
      <c r="C8" s="21" t="s">
        <v>128</v>
      </c>
      <c r="D8" s="21">
        <f>COUNTIFS(R_CATA!$C$2:$C$61,Setup!$B$5,R_CATA!$E$2:$E$61,1,R_CATA!$H$2:$H$61,1)</f>
        <v>14</v>
      </c>
      <c r="E8" s="21">
        <f>COUNTIFS(R_CATA!$C$2:$C$61,Setup!$B$6,R_CATA!$E$2:$E$61,1,R_CATA!$H$2:$H$61,1)</f>
        <v>4</v>
      </c>
      <c r="F8" s="22">
        <f t="shared" si="0"/>
        <v>0.46666666666666667</v>
      </c>
      <c r="G8" s="22">
        <f t="shared" si="1"/>
        <v>0.13333333333333333</v>
      </c>
    </row>
    <row r="9" spans="1:7" ht="15" customHeight="1" x14ac:dyDescent="0.2">
      <c r="A9" s="21" t="s">
        <v>166</v>
      </c>
      <c r="B9" s="21" t="s">
        <v>108</v>
      </c>
      <c r="C9" s="21" t="s">
        <v>129</v>
      </c>
      <c r="D9" s="21">
        <f>COUNTIFS(R_CATA!$C$2:$C$61,Setup!$B$5,R_CATA!$E$2:$E$61,1,R_CATA!$I$2:$I$61,1)</f>
        <v>6</v>
      </c>
      <c r="E9" s="21">
        <f>COUNTIFS(R_CATA!$C$2:$C$61,Setup!$B$6,R_CATA!$E$2:$E$61,1,R_CATA!$I$2:$I$61,1)</f>
        <v>4</v>
      </c>
      <c r="F9" s="22">
        <f t="shared" si="0"/>
        <v>0.2</v>
      </c>
      <c r="G9" s="22">
        <f t="shared" si="1"/>
        <v>0.13333333333333333</v>
      </c>
    </row>
    <row r="10" spans="1:7" ht="15" customHeight="1" x14ac:dyDescent="0.2">
      <c r="A10" s="21" t="s">
        <v>166</v>
      </c>
      <c r="B10" s="21" t="s">
        <v>109</v>
      </c>
      <c r="C10" s="21" t="s">
        <v>130</v>
      </c>
      <c r="D10" s="21">
        <f>COUNTIFS(R_CATA!$C$2:$C$61,Setup!$B$5,R_CATA!$E$2:$E$61,1,R_CATA!$J$2:$J$61,1)</f>
        <v>2</v>
      </c>
      <c r="E10" s="21">
        <f>COUNTIFS(R_CATA!$C$2:$C$61,Setup!$B$6,R_CATA!$E$2:$E$61,1,R_CATA!$J$2:$J$61,1)</f>
        <v>5</v>
      </c>
      <c r="F10" s="22">
        <f t="shared" si="0"/>
        <v>6.6666666666666666E-2</v>
      </c>
      <c r="G10" s="22">
        <f t="shared" si="1"/>
        <v>0.16666666666666666</v>
      </c>
    </row>
    <row r="11" spans="1:7" ht="15" customHeight="1" x14ac:dyDescent="0.2">
      <c r="A11" s="21" t="s">
        <v>166</v>
      </c>
      <c r="B11" s="21" t="s">
        <v>110</v>
      </c>
      <c r="C11" s="21" t="s">
        <v>131</v>
      </c>
      <c r="D11" s="21">
        <f>COUNTIFS(R_CATA!$C$2:$C$61,Setup!$B$5,R_CATA!$E$2:$E$61,1,R_CATA!$K$2:$K$61,1)</f>
        <v>4</v>
      </c>
      <c r="E11" s="21">
        <f>COUNTIFS(R_CATA!$C$2:$C$61,Setup!$B$6,R_CATA!$E$2:$E$61,1,R_CATA!$K$2:$K$61,1)</f>
        <v>28</v>
      </c>
      <c r="F11" s="22">
        <f t="shared" si="0"/>
        <v>0.13333333333333333</v>
      </c>
      <c r="G11" s="22">
        <f t="shared" si="1"/>
        <v>0.93333333333333335</v>
      </c>
    </row>
    <row r="12" spans="1:7" ht="15" customHeight="1" x14ac:dyDescent="0.2">
      <c r="A12" s="21" t="s">
        <v>166</v>
      </c>
      <c r="B12" s="21" t="s">
        <v>111</v>
      </c>
      <c r="C12" s="21" t="s">
        <v>132</v>
      </c>
      <c r="D12" s="21">
        <f>COUNTIFS(R_CATA!$C$2:$C$61,Setup!$B$5,R_CATA!$E$2:$E$61,1,R_CATA!$L$2:$L$61,1)</f>
        <v>7</v>
      </c>
      <c r="E12" s="21">
        <f>COUNTIFS(R_CATA!$C$2:$C$61,Setup!$B$6,R_CATA!$E$2:$E$61,1,R_CATA!$L$2:$L$61,1)</f>
        <v>22</v>
      </c>
      <c r="F12" s="22">
        <f t="shared" si="0"/>
        <v>0.23333333333333334</v>
      </c>
      <c r="G12" s="22">
        <f t="shared" si="1"/>
        <v>0.73333333333333328</v>
      </c>
    </row>
    <row r="13" spans="1:7" ht="15" customHeight="1" x14ac:dyDescent="0.2">
      <c r="A13" s="21" t="s">
        <v>166</v>
      </c>
      <c r="B13" s="21" t="s">
        <v>112</v>
      </c>
      <c r="C13" s="21" t="s">
        <v>133</v>
      </c>
      <c r="D13" s="21">
        <f>COUNTIFS(R_CATA!$C$2:$C$61,Setup!$B$5,R_CATA!$E$2:$E$61,1,R_CATA!$M$2:$M$61,1)</f>
        <v>4</v>
      </c>
      <c r="E13" s="21">
        <f>COUNTIFS(R_CATA!$C$2:$C$61,Setup!$B$6,R_CATA!$E$2:$E$61,1,R_CATA!$M$2:$M$61,1)</f>
        <v>18</v>
      </c>
      <c r="F13" s="22">
        <f t="shared" si="0"/>
        <v>0.13333333333333333</v>
      </c>
      <c r="G13" s="22">
        <f t="shared" si="1"/>
        <v>0.6</v>
      </c>
    </row>
    <row r="14" spans="1:7" ht="15" customHeight="1" x14ac:dyDescent="0.2">
      <c r="A14" s="21" t="s">
        <v>166</v>
      </c>
      <c r="B14" s="21" t="s">
        <v>113</v>
      </c>
      <c r="C14" s="21" t="s">
        <v>134</v>
      </c>
      <c r="D14" s="21">
        <f>COUNTIFS(R_CATA!$C$2:$C$61,Setup!$B$5,R_CATA!$E$2:$E$61,1,R_CATA!$N$2:$N$61,1)</f>
        <v>22</v>
      </c>
      <c r="E14" s="21">
        <f>COUNTIFS(R_CATA!$C$2:$C$61,Setup!$B$6,R_CATA!$E$2:$E$61,1,R_CATA!$N$2:$N$61,1)</f>
        <v>5</v>
      </c>
      <c r="F14" s="22">
        <f t="shared" si="0"/>
        <v>0.73333333333333328</v>
      </c>
      <c r="G14" s="22">
        <f t="shared" si="1"/>
        <v>0.16666666666666666</v>
      </c>
    </row>
    <row r="15" spans="1:7" ht="15" customHeight="1" x14ac:dyDescent="0.2">
      <c r="A15" s="21" t="s">
        <v>167</v>
      </c>
      <c r="B15" s="21" t="s">
        <v>105</v>
      </c>
      <c r="C15" s="21" t="s">
        <v>135</v>
      </c>
      <c r="D15" s="21">
        <f>COUNTIFS(R_CATA!$C$2:$C$61,Setup!$B$5,R_CATA!$E$2:$E$61,1,R_CATA!$O$2:$O$61,1)</f>
        <v>9</v>
      </c>
      <c r="E15" s="21">
        <f>COUNTIFS(R_CATA!$C$2:$C$61,Setup!$B$6,R_CATA!$E$2:$E$61,1,R_CATA!$O$2:$O$61,1)</f>
        <v>1</v>
      </c>
      <c r="F15" s="22">
        <f t="shared" si="0"/>
        <v>0.3</v>
      </c>
      <c r="G15" s="22">
        <f t="shared" si="1"/>
        <v>3.3333333333333333E-2</v>
      </c>
    </row>
    <row r="16" spans="1:7" ht="15" customHeight="1" x14ac:dyDescent="0.2">
      <c r="A16" s="21" t="s">
        <v>167</v>
      </c>
      <c r="B16" s="21" t="s">
        <v>106</v>
      </c>
      <c r="C16" s="21" t="s">
        <v>136</v>
      </c>
      <c r="D16" s="21">
        <f>COUNTIFS(R_CATA!$C$2:$C$61,Setup!$B$5,R_CATA!$E$2:$E$61,1,R_CATA!$P$2:$P$61,1)</f>
        <v>24</v>
      </c>
      <c r="E16" s="21">
        <f>COUNTIFS(R_CATA!$C$2:$C$61,Setup!$B$6,R_CATA!$E$2:$E$61,1,R_CATA!$P$2:$P$61,1)</f>
        <v>4</v>
      </c>
      <c r="F16" s="22">
        <f t="shared" si="0"/>
        <v>0.8</v>
      </c>
      <c r="G16" s="22">
        <f t="shared" si="1"/>
        <v>0.13333333333333333</v>
      </c>
    </row>
    <row r="17" spans="1:7" ht="15" customHeight="1" x14ac:dyDescent="0.2">
      <c r="A17" s="21" t="s">
        <v>167</v>
      </c>
      <c r="B17" s="21" t="s">
        <v>107</v>
      </c>
      <c r="C17" s="21" t="s">
        <v>137</v>
      </c>
      <c r="D17" s="21">
        <f>COUNTIFS(R_CATA!$C$2:$C$61,Setup!$B$5,R_CATA!$E$2:$E$61,1,R_CATA!$Q$2:$Q$61,1)</f>
        <v>15</v>
      </c>
      <c r="E17" s="21">
        <f>COUNTIFS(R_CATA!$C$2:$C$61,Setup!$B$6,R_CATA!$E$2:$E$61,1,R_CATA!$Q$2:$Q$61,1)</f>
        <v>5</v>
      </c>
      <c r="F17" s="22">
        <f t="shared" si="0"/>
        <v>0.5</v>
      </c>
      <c r="G17" s="22">
        <f t="shared" si="1"/>
        <v>0.16666666666666666</v>
      </c>
    </row>
    <row r="18" spans="1:7" ht="15" customHeight="1" x14ac:dyDescent="0.2">
      <c r="A18" s="21" t="s">
        <v>167</v>
      </c>
      <c r="B18" s="21" t="s">
        <v>108</v>
      </c>
      <c r="C18" s="21" t="s">
        <v>138</v>
      </c>
      <c r="D18" s="21">
        <f>COUNTIFS(R_CATA!$C$2:$C$61,Setup!$B$5,R_CATA!$E$2:$E$61,1,R_CATA!$R$2:$R$61,1)</f>
        <v>1</v>
      </c>
      <c r="E18" s="21">
        <f>COUNTIFS(R_CATA!$C$2:$C$61,Setup!$B$6,R_CATA!$E$2:$E$61,1,R_CATA!$R$2:$R$61,1)</f>
        <v>5</v>
      </c>
      <c r="F18" s="22">
        <f t="shared" si="0"/>
        <v>3.3333333333333333E-2</v>
      </c>
      <c r="G18" s="22">
        <f t="shared" si="1"/>
        <v>0.16666666666666666</v>
      </c>
    </row>
    <row r="19" spans="1:7" ht="15" customHeight="1" x14ac:dyDescent="0.2">
      <c r="A19" s="21" t="s">
        <v>167</v>
      </c>
      <c r="B19" s="21" t="s">
        <v>109</v>
      </c>
      <c r="C19" s="21" t="s">
        <v>139</v>
      </c>
      <c r="D19" s="21">
        <f>COUNTIFS(R_CATA!$C$2:$C$61,Setup!$B$5,R_CATA!$E$2:$E$61,1,R_CATA!$S$2:$S$61,1)</f>
        <v>1</v>
      </c>
      <c r="E19" s="21">
        <f>COUNTIFS(R_CATA!$C$2:$C$61,Setup!$B$6,R_CATA!$E$2:$E$61,1,R_CATA!$S$2:$S$61,1)</f>
        <v>5</v>
      </c>
      <c r="F19" s="22">
        <f t="shared" si="0"/>
        <v>3.3333333333333333E-2</v>
      </c>
      <c r="G19" s="22">
        <f t="shared" si="1"/>
        <v>0.16666666666666666</v>
      </c>
    </row>
    <row r="20" spans="1:7" ht="15" customHeight="1" x14ac:dyDescent="0.2">
      <c r="A20" s="21" t="s">
        <v>167</v>
      </c>
      <c r="B20" s="21" t="s">
        <v>110</v>
      </c>
      <c r="C20" s="21" t="s">
        <v>140</v>
      </c>
      <c r="D20" s="21">
        <f>COUNTIFS(R_CATA!$C$2:$C$61,Setup!$B$5,R_CATA!$E$2:$E$61,1,R_CATA!$T$2:$T$61,1)</f>
        <v>3</v>
      </c>
      <c r="E20" s="21">
        <f>COUNTIFS(R_CATA!$C$2:$C$61,Setup!$B$6,R_CATA!$E$2:$E$61,1,R_CATA!$T$2:$T$61,1)</f>
        <v>25</v>
      </c>
      <c r="F20" s="22">
        <f t="shared" si="0"/>
        <v>0.1</v>
      </c>
      <c r="G20" s="22">
        <f t="shared" si="1"/>
        <v>0.83333333333333337</v>
      </c>
    </row>
    <row r="21" spans="1:7" ht="15" customHeight="1" x14ac:dyDescent="0.2">
      <c r="A21" s="21" t="s">
        <v>167</v>
      </c>
      <c r="B21" s="21" t="s">
        <v>111</v>
      </c>
      <c r="C21" s="21" t="s">
        <v>141</v>
      </c>
      <c r="D21" s="21">
        <f>COUNTIFS(R_CATA!$C$2:$C$61,Setup!$B$5,R_CATA!$E$2:$E$61,1,R_CATA!$U$2:$U$61,1)</f>
        <v>7</v>
      </c>
      <c r="E21" s="21">
        <f>COUNTIFS(R_CATA!$C$2:$C$61,Setup!$B$6,R_CATA!$E$2:$E$61,1,R_CATA!$U$2:$U$61,1)</f>
        <v>19</v>
      </c>
      <c r="F21" s="22">
        <f t="shared" si="0"/>
        <v>0.23333333333333334</v>
      </c>
      <c r="G21" s="22">
        <f t="shared" si="1"/>
        <v>0.6333333333333333</v>
      </c>
    </row>
    <row r="22" spans="1:7" ht="15" customHeight="1" x14ac:dyDescent="0.2">
      <c r="A22" s="21" t="s">
        <v>167</v>
      </c>
      <c r="B22" s="21" t="s">
        <v>112</v>
      </c>
      <c r="C22" s="21" t="s">
        <v>142</v>
      </c>
      <c r="D22" s="21">
        <f>COUNTIFS(R_CATA!$C$2:$C$61,Setup!$B$5,R_CATA!$E$2:$E$61,1,R_CATA!$V$2:$V$61,1)</f>
        <v>4</v>
      </c>
      <c r="E22" s="21">
        <f>COUNTIFS(R_CATA!$C$2:$C$61,Setup!$B$6,R_CATA!$E$2:$E$61,1,R_CATA!$V$2:$V$61,1)</f>
        <v>10</v>
      </c>
      <c r="F22" s="22">
        <f t="shared" si="0"/>
        <v>0.13333333333333333</v>
      </c>
      <c r="G22" s="22">
        <f t="shared" si="1"/>
        <v>0.33333333333333331</v>
      </c>
    </row>
    <row r="23" spans="1:7" ht="15" customHeight="1" x14ac:dyDescent="0.2">
      <c r="A23" s="21" t="s">
        <v>167</v>
      </c>
      <c r="B23" s="21" t="s">
        <v>113</v>
      </c>
      <c r="C23" s="21" t="s">
        <v>143</v>
      </c>
      <c r="D23" s="21">
        <f>COUNTIFS(R_CATA!$C$2:$C$61,Setup!$B$5,R_CATA!$E$2:$E$61,1,R_CATA!$W$2:$W$61,1)</f>
        <v>14</v>
      </c>
      <c r="E23" s="21">
        <f>COUNTIFS(R_CATA!$C$2:$C$61,Setup!$B$6,R_CATA!$E$2:$E$61,1,R_CATA!$W$2:$W$61,1)</f>
        <v>6</v>
      </c>
      <c r="F23" s="22">
        <f t="shared" si="0"/>
        <v>0.46666666666666667</v>
      </c>
      <c r="G23" s="22">
        <f t="shared" si="1"/>
        <v>0.2</v>
      </c>
    </row>
    <row r="24" spans="1:7" ht="15" customHeight="1" x14ac:dyDescent="0.2">
      <c r="A24" s="21" t="s">
        <v>168</v>
      </c>
      <c r="B24" s="21" t="s">
        <v>114</v>
      </c>
      <c r="C24" s="21" t="s">
        <v>144</v>
      </c>
      <c r="D24" s="21">
        <f>COUNTIFS(R_CATA!$C$2:$C$61,Setup!$B$5,R_CATA!$E$2:$E$61,1,R_CATA!$X$2:$X$61,1)</f>
        <v>0</v>
      </c>
      <c r="E24" s="21">
        <f>COUNTIFS(R_CATA!$C$2:$C$61,Setup!$B$6,R_CATA!$E$2:$E$61,1,R_CATA!$X$2:$X$61,1)</f>
        <v>0</v>
      </c>
      <c r="F24" s="22">
        <f t="shared" si="0"/>
        <v>0</v>
      </c>
      <c r="G24" s="22">
        <f t="shared" si="1"/>
        <v>0</v>
      </c>
    </row>
    <row r="25" spans="1:7" ht="15" customHeight="1" x14ac:dyDescent="0.2">
      <c r="A25" s="21" t="s">
        <v>168</v>
      </c>
      <c r="B25" s="21" t="s">
        <v>115</v>
      </c>
      <c r="C25" s="21" t="s">
        <v>145</v>
      </c>
      <c r="D25" s="21">
        <f>COUNTIFS(R_CATA!$C$2:$C$61,Setup!$B$5,R_CATA!$E$2:$E$61,1,R_CATA!$Y$2:$Y$61,1)</f>
        <v>22</v>
      </c>
      <c r="E25" s="21">
        <f>COUNTIFS(R_CATA!$C$2:$C$61,Setup!$B$6,R_CATA!$E$2:$E$61,1,R_CATA!$Y$2:$Y$61,1)</f>
        <v>4</v>
      </c>
      <c r="F25" s="22">
        <f t="shared" si="0"/>
        <v>0.73333333333333328</v>
      </c>
      <c r="G25" s="22">
        <f t="shared" si="1"/>
        <v>0.13333333333333333</v>
      </c>
    </row>
    <row r="26" spans="1:7" ht="15" customHeight="1" x14ac:dyDescent="0.2">
      <c r="A26" s="21" t="s">
        <v>168</v>
      </c>
      <c r="B26" s="21" t="s">
        <v>113</v>
      </c>
      <c r="C26" s="21" t="s">
        <v>146</v>
      </c>
      <c r="D26" s="21">
        <f>COUNTIFS(R_CATA!$C$2:$C$61,Setup!$B$5,R_CATA!$E$2:$E$61,1,R_CATA!$Z$2:$Z$61,1)</f>
        <v>13</v>
      </c>
      <c r="E26" s="21">
        <f>COUNTIFS(R_CATA!$C$2:$C$61,Setup!$B$6,R_CATA!$E$2:$E$61,1,R_CATA!$Z$2:$Z$61,1)</f>
        <v>3</v>
      </c>
      <c r="F26" s="22">
        <f t="shared" si="0"/>
        <v>0.43333333333333335</v>
      </c>
      <c r="G26" s="22">
        <f t="shared" si="1"/>
        <v>0.1</v>
      </c>
    </row>
    <row r="27" spans="1:7" ht="15" customHeight="1" x14ac:dyDescent="0.2">
      <c r="A27" s="21" t="s">
        <v>168</v>
      </c>
      <c r="B27" s="21" t="s">
        <v>116</v>
      </c>
      <c r="C27" s="21" t="s">
        <v>147</v>
      </c>
      <c r="D27" s="21">
        <f>COUNTIFS(R_CATA!$C$2:$C$61,Setup!$B$5,R_CATA!$E$2:$E$61,1,R_CATA!$AA$2:$AA$61,1)</f>
        <v>7</v>
      </c>
      <c r="E27" s="21">
        <f>COUNTIFS(R_CATA!$C$2:$C$61,Setup!$B$6,R_CATA!$E$2:$E$61,1,R_CATA!$AA$2:$AA$61,1)</f>
        <v>27</v>
      </c>
      <c r="F27" s="22">
        <f t="shared" si="0"/>
        <v>0.23333333333333334</v>
      </c>
      <c r="G27" s="22">
        <f t="shared" si="1"/>
        <v>0.9</v>
      </c>
    </row>
    <row r="28" spans="1:7" ht="15" customHeight="1" x14ac:dyDescent="0.2">
      <c r="A28" s="21" t="s">
        <v>168</v>
      </c>
      <c r="B28" s="21" t="s">
        <v>117</v>
      </c>
      <c r="C28" s="21" t="s">
        <v>148</v>
      </c>
      <c r="D28" s="21">
        <f>COUNTIFS(R_CATA!$C$2:$C$61,Setup!$B$5,R_CATA!$E$2:$E$61,1,R_CATA!$AB$2:$AB$61,1)</f>
        <v>0</v>
      </c>
      <c r="E28" s="21">
        <f>COUNTIFS(R_CATA!$C$2:$C$61,Setup!$B$6,R_CATA!$E$2:$E$61,1,R_CATA!$AB$2:$AB$61,1)</f>
        <v>5</v>
      </c>
      <c r="F28" s="22">
        <f t="shared" si="0"/>
        <v>0</v>
      </c>
      <c r="G28" s="22">
        <f t="shared" si="1"/>
        <v>0.16666666666666666</v>
      </c>
    </row>
    <row r="29" spans="1:7" ht="15" customHeight="1" x14ac:dyDescent="0.2">
      <c r="A29" s="21" t="s">
        <v>88</v>
      </c>
      <c r="B29" s="21" t="s">
        <v>118</v>
      </c>
      <c r="C29" s="21" t="s">
        <v>149</v>
      </c>
      <c r="D29" s="21">
        <f>COUNTIFS(R_CATA!$C$2:$C$61,Setup!$B$5,R_CATA!$E$2:$E$61,1,R_CATA!$AC$2:$AC$61,1)</f>
        <v>2</v>
      </c>
      <c r="E29" s="21">
        <f>COUNTIFS(R_CATA!$C$2:$C$61,Setup!$B$6,R_CATA!$E$2:$E$61,1,R_CATA!$AC$2:$AC$61,1)</f>
        <v>13</v>
      </c>
      <c r="F29" s="22">
        <f t="shared" si="0"/>
        <v>6.6666666666666666E-2</v>
      </c>
      <c r="G29" s="22">
        <f t="shared" si="1"/>
        <v>0.43333333333333335</v>
      </c>
    </row>
    <row r="30" spans="1:7" ht="15" customHeight="1" x14ac:dyDescent="0.2">
      <c r="A30" s="21" t="s">
        <v>88</v>
      </c>
      <c r="B30" s="21" t="s">
        <v>119</v>
      </c>
      <c r="C30" s="21" t="s">
        <v>150</v>
      </c>
      <c r="D30" s="21">
        <f>COUNTIFS(R_CATA!$C$2:$C$61,Setup!$B$5,R_CATA!$E$2:$E$61,1,R_CATA!$AD$2:$AD$61,1)</f>
        <v>3</v>
      </c>
      <c r="E30" s="21">
        <f>COUNTIFS(R_CATA!$C$2:$C$61,Setup!$B$6,R_CATA!$E$2:$E$61,1,R_CATA!$AD$2:$AD$61,1)</f>
        <v>11</v>
      </c>
      <c r="F30" s="22">
        <f t="shared" si="0"/>
        <v>0.1</v>
      </c>
      <c r="G30" s="22">
        <f t="shared" si="1"/>
        <v>0.36666666666666664</v>
      </c>
    </row>
    <row r="31" spans="1:7" ht="15" customHeight="1" x14ac:dyDescent="0.2">
      <c r="A31" s="21" t="s">
        <v>88</v>
      </c>
      <c r="B31" s="21" t="s">
        <v>120</v>
      </c>
      <c r="C31" s="21" t="s">
        <v>151</v>
      </c>
      <c r="D31" s="21">
        <f>COUNTIFS(R_CATA!$C$2:$C$61,Setup!$B$5,R_CATA!$E$2:$E$61,1,R_CATA!$AE$2:$AE$61,1)</f>
        <v>20</v>
      </c>
      <c r="E31" s="21">
        <f>COUNTIFS(R_CATA!$C$2:$C$61,Setup!$B$6,R_CATA!$E$2:$E$61,1,R_CATA!$AE$2:$AE$61,1)</f>
        <v>2</v>
      </c>
      <c r="F31" s="22">
        <f t="shared" si="0"/>
        <v>0.66666666666666663</v>
      </c>
      <c r="G31" s="22">
        <f t="shared" si="1"/>
        <v>6.6666666666666666E-2</v>
      </c>
    </row>
    <row r="32" spans="1:7" ht="15" customHeight="1" x14ac:dyDescent="0.2">
      <c r="A32" s="21" t="s">
        <v>88</v>
      </c>
      <c r="B32" s="21" t="s">
        <v>121</v>
      </c>
      <c r="C32" s="21" t="s">
        <v>152</v>
      </c>
      <c r="D32" s="21">
        <f>COUNTIFS(R_CATA!$C$2:$C$61,Setup!$B$5,R_CATA!$E$2:$E$61,1,R_CATA!$AF$2:$AF$61,1)</f>
        <v>8</v>
      </c>
      <c r="E32" s="21">
        <f>COUNTIFS(R_CATA!$C$2:$C$61,Setup!$B$6,R_CATA!$E$2:$E$61,1,R_CATA!$AF$2:$AF$61,1)</f>
        <v>14</v>
      </c>
      <c r="F32" s="22">
        <f t="shared" si="0"/>
        <v>0.26666666666666666</v>
      </c>
      <c r="G32" s="22">
        <f t="shared" si="1"/>
        <v>0.46666666666666667</v>
      </c>
    </row>
    <row r="33" spans="1:7" ht="15" customHeight="1" x14ac:dyDescent="0.2">
      <c r="A33" s="21" t="s">
        <v>88</v>
      </c>
      <c r="B33" s="21" t="s">
        <v>122</v>
      </c>
      <c r="C33" s="21" t="s">
        <v>153</v>
      </c>
      <c r="D33" s="21">
        <f>COUNTIFS(R_CATA!$C$2:$C$61,Setup!$B$5,R_CATA!$E$2:$E$61,1,R_CATA!$AG$2:$AG$61,1)</f>
        <v>2</v>
      </c>
      <c r="E33" s="21">
        <f>COUNTIFS(R_CATA!$C$2:$C$61,Setup!$B$6,R_CATA!$E$2:$E$61,1,R_CATA!$AG$2:$AG$61,1)</f>
        <v>4</v>
      </c>
      <c r="F33" s="22">
        <f t="shared" si="0"/>
        <v>6.6666666666666666E-2</v>
      </c>
      <c r="G33" s="22">
        <f t="shared" si="1"/>
        <v>0.13333333333333333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Setup</vt:lpstr>
      <vt:lpstr>Afektif</vt:lpstr>
      <vt:lpstr>Deskriptif</vt:lpstr>
      <vt:lpstr>CATA</vt:lpstr>
      <vt:lpstr>R_CATA</vt:lpstr>
      <vt:lpstr>R_Deskriptif</vt:lpstr>
      <vt:lpstr>R_Afektif</vt:lpstr>
      <vt:lpstr>Frekuensi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Andika Wicaksono Putro</cp:lastModifiedBy>
  <cp:revision>2</cp:revision>
  <dcterms:created xsi:type="dcterms:W3CDTF">2026-09-28T05:59:02Z</dcterms:created>
  <dcterms:modified xsi:type="dcterms:W3CDTF">2026-09-30T08:21:34Z</dcterms:modified>
  <dc:language>en-US</dc:language>
</cp:coreProperties>
</file>